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" sheetId="1" r:id="rId4"/>
    <sheet state="visible" name="MOT Result" sheetId="2" r:id="rId5"/>
    <sheet state="visible" name="MOT Result State Base" sheetId="3" r:id="rId6"/>
    <sheet state="visible" name="MOT Result V2" sheetId="4" r:id="rId7"/>
    <sheet state="visible" name="MOT Result V3" sheetId="5" r:id="rId8"/>
    <sheet state="visible" name="Sheet2" sheetId="6" r:id="rId9"/>
    <sheet state="visible" name="Stress Test" sheetId="7" r:id="rId10"/>
  </sheets>
  <definedNames/>
  <calcPr/>
</workbook>
</file>

<file path=xl/sharedStrings.xml><?xml version="1.0" encoding="utf-8"?>
<sst xmlns="http://schemas.openxmlformats.org/spreadsheetml/2006/main" count="1201" uniqueCount="93">
  <si>
    <t>Dataset</t>
  </si>
  <si>
    <t>Sequence</t>
  </si>
  <si>
    <t>Metode</t>
  </si>
  <si>
    <t>Detector</t>
  </si>
  <si>
    <t>MOTA</t>
  </si>
  <si>
    <t>Recall</t>
  </si>
  <si>
    <t>IDF1</t>
  </si>
  <si>
    <t>Precision</t>
  </si>
  <si>
    <t>IDSw</t>
  </si>
  <si>
    <t>FP</t>
  </si>
  <si>
    <t>FN</t>
  </si>
  <si>
    <t>MOT17</t>
  </si>
  <si>
    <t>MOT17-02-SDP</t>
  </si>
  <si>
    <t>TrackGraph</t>
  </si>
  <si>
    <t>TensorRT</t>
  </si>
  <si>
    <t>YOLO11x</t>
  </si>
  <si>
    <t>Smart Hungarian</t>
  </si>
  <si>
    <t>MOT17-04-SDP</t>
  </si>
  <si>
    <t>MOT17-05-SDP</t>
  </si>
  <si>
    <t>MOT17-09-SDP</t>
  </si>
  <si>
    <t>MOT17-10-SDP</t>
  </si>
  <si>
    <t>MOT17-11-SDP</t>
  </si>
  <si>
    <t>MOT17-13-SDP</t>
  </si>
  <si>
    <t>AGM</t>
  </si>
  <si>
    <t>Average AGM</t>
  </si>
  <si>
    <t>Average SHA</t>
  </si>
  <si>
    <t>ByteTrack</t>
  </si>
  <si>
    <t>Average</t>
  </si>
  <si>
    <t>Hungarian</t>
  </si>
  <si>
    <t>Hungarian Gated</t>
  </si>
  <si>
    <t>Infeasible</t>
  </si>
  <si>
    <t>Smart Hungarian (No ReID)</t>
  </si>
  <si>
    <t>Smart Hungarian (No Graph)</t>
  </si>
  <si>
    <t>0.76</t>
  </si>
  <si>
    <t>Smart Hungarian IoU</t>
  </si>
  <si>
    <t>Greedy</t>
  </si>
  <si>
    <t>0.72</t>
  </si>
  <si>
    <t>0.83</t>
  </si>
  <si>
    <t>Tuning SDP 02</t>
  </si>
  <si>
    <t>0.84</t>
  </si>
  <si>
    <t>0.85</t>
  </si>
  <si>
    <t>0.51</t>
  </si>
  <si>
    <t>Average Hungarian</t>
  </si>
  <si>
    <t>Average SHA (No Re-ID)</t>
  </si>
  <si>
    <t>Average SHA (No Graph)</t>
  </si>
  <si>
    <t>Average Greedy</t>
  </si>
  <si>
    <t>Configurasi</t>
  </si>
  <si>
    <t>Hungarian ReID</t>
  </si>
  <si>
    <t>Two-Stage</t>
  </si>
  <si>
    <t>Hungarian IoU</t>
  </si>
  <si>
    <t>0.68</t>
  </si>
  <si>
    <t>0.75</t>
  </si>
  <si>
    <t>0.96</t>
  </si>
  <si>
    <t>Greedy IoU</t>
  </si>
  <si>
    <t>Greedy ReID</t>
  </si>
  <si>
    <t>Smart Hungarian ReID</t>
  </si>
  <si>
    <t>State Base</t>
  </si>
  <si>
    <t>0.86</t>
  </si>
  <si>
    <t>0.87</t>
  </si>
  <si>
    <t>0.79</t>
  </si>
  <si>
    <t>0.82</t>
  </si>
  <si>
    <t>0.91</t>
  </si>
  <si>
    <t>0.95</t>
  </si>
  <si>
    <t>0.94</t>
  </si>
  <si>
    <t>FPS on Jetson</t>
  </si>
  <si>
    <t>Video</t>
  </si>
  <si>
    <t>1 - 5 FPS</t>
  </si>
  <si>
    <t>640 Px Video</t>
  </si>
  <si>
    <t>16-17 FPS</t>
  </si>
  <si>
    <t>Vanilla</t>
  </si>
  <si>
    <t>ByteTrack Hungarian IoU</t>
  </si>
  <si>
    <t>DeepSORT ReID</t>
  </si>
  <si>
    <t>Cascade</t>
  </si>
  <si>
    <t>TrackGuard 1.0</t>
  </si>
  <si>
    <t>0.69</t>
  </si>
  <si>
    <t xml:space="preserve">TrackGuard with SHA </t>
  </si>
  <si>
    <t>TrackGuard ADP + SHA</t>
  </si>
  <si>
    <t>TrackGuard</t>
  </si>
  <si>
    <t>Configuration</t>
  </si>
  <si>
    <t>Success</t>
  </si>
  <si>
    <t>Assign</t>
  </si>
  <si>
    <t>Exec MS</t>
  </si>
  <si>
    <t>Fails</t>
  </si>
  <si>
    <t>Robust</t>
  </si>
  <si>
    <t>MOT 17</t>
  </si>
  <si>
    <t xml:space="preserve">baseline  </t>
  </si>
  <si>
    <t xml:space="preserve">crowded_2x   </t>
  </si>
  <si>
    <t xml:space="preserve">crowded_3x  </t>
  </si>
  <si>
    <t xml:space="preserve">sparse_30 </t>
  </si>
  <si>
    <t xml:space="preserve">sparse_70   </t>
  </si>
  <si>
    <t>dummy flood</t>
  </si>
  <si>
    <t xml:space="preserve">quality_drop </t>
  </si>
  <si>
    <t xml:space="preserve">severe imbalance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</si>
</sst>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"/>
    <numFmt numFmtId="166" formatCode="0.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ill="1" applyFont="1">
      <alignment readingOrder="0" vertical="center"/>
    </xf>
    <xf borderId="3" fillId="0" fontId="3" numFmtId="0" xfId="0" applyBorder="1" applyFont="1"/>
    <xf borderId="1" fillId="4" fontId="2" numFmtId="0" xfId="0" applyAlignment="1" applyBorder="1" applyFill="1" applyFont="1">
      <alignment readingOrder="0" vertical="center"/>
    </xf>
    <xf borderId="4" fillId="0" fontId="3" numFmtId="0" xfId="0" applyBorder="1" applyFont="1"/>
    <xf borderId="1" fillId="5" fontId="1" numFmtId="0" xfId="0" applyAlignment="1" applyBorder="1" applyFill="1" applyFont="1">
      <alignment readingOrder="0" vertical="center"/>
    </xf>
    <xf borderId="1" fillId="4" fontId="2" numFmtId="0" xfId="0" applyAlignment="1" applyBorder="1" applyFont="1">
      <alignment horizontal="right" readingOrder="0" vertical="center"/>
    </xf>
    <xf borderId="1" fillId="5" fontId="2" numFmtId="0" xfId="0" applyAlignment="1" applyBorder="1" applyFont="1">
      <alignment readingOrder="0" vertical="center"/>
    </xf>
    <xf borderId="1" fillId="6" fontId="1" numFmtId="0" xfId="0" applyAlignment="1" applyBorder="1" applyFill="1" applyFont="1">
      <alignment readingOrder="0" vertical="center"/>
    </xf>
    <xf borderId="1" fillId="7" fontId="2" numFmtId="0" xfId="0" applyAlignment="1" applyBorder="1" applyFill="1" applyFon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0" fontId="2" numFmtId="1" xfId="0" applyAlignment="1" applyBorder="1" applyFont="1" applyNumberFormat="1">
      <alignment vertical="center"/>
    </xf>
    <xf borderId="1" fillId="8" fontId="2" numFmtId="0" xfId="0" applyAlignment="1" applyBorder="1" applyFill="1" applyFont="1">
      <alignment readingOrder="0" vertical="center"/>
    </xf>
    <xf borderId="1" fillId="8" fontId="2" numFmtId="164" xfId="0" applyAlignment="1" applyBorder="1" applyFont="1" applyNumberFormat="1">
      <alignment vertical="center"/>
    </xf>
    <xf borderId="1" fillId="8" fontId="1" numFmtId="0" xfId="0" applyAlignment="1" applyBorder="1" applyFont="1">
      <alignment vertical="center"/>
    </xf>
    <xf borderId="1" fillId="8" fontId="2" numFmtId="1" xfId="0" applyAlignment="1" applyBorder="1" applyFont="1" applyNumberFormat="1">
      <alignment vertical="center"/>
    </xf>
    <xf borderId="1" fillId="6" fontId="2" numFmtId="0" xfId="0" applyAlignment="1" applyBorder="1" applyFont="1">
      <alignment readingOrder="0" vertical="center"/>
    </xf>
    <xf borderId="1" fillId="6" fontId="2" numFmtId="164" xfId="0" applyAlignment="1" applyBorder="1" applyFont="1" applyNumberFormat="1">
      <alignment vertical="center"/>
    </xf>
    <xf borderId="1" fillId="6" fontId="1" numFmtId="0" xfId="0" applyAlignment="1" applyBorder="1" applyFont="1">
      <alignment vertical="center"/>
    </xf>
    <xf borderId="1" fillId="6" fontId="2" numFmtId="1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right" readingOrder="0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right" vertical="center"/>
    </xf>
    <xf borderId="0" fillId="6" fontId="2" numFmtId="0" xfId="0" applyAlignment="1" applyFont="1">
      <alignment readingOrder="0" vertical="center"/>
    </xf>
    <xf borderId="0" fillId="6" fontId="2" numFmtId="164" xfId="0" applyAlignment="1" applyFont="1" applyNumberFormat="1">
      <alignment vertical="center"/>
    </xf>
    <xf borderId="0" fillId="2" fontId="2" numFmtId="0" xfId="0" applyAlignment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9" fontId="2" numFmtId="0" xfId="0" applyAlignment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1" fillId="9" fontId="2" numFmtId="165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11" fontId="2" numFmtId="0" xfId="0" applyAlignment="1" applyBorder="1" applyFill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1" xfId="0" applyAlignment="1" applyBorder="1" applyFont="1" applyNumberFormat="1">
      <alignment horizontal="center" vertical="center"/>
    </xf>
    <xf borderId="1" fillId="0" fontId="8" numFmtId="0" xfId="0" applyBorder="1" applyFont="1"/>
    <xf borderId="1" fillId="0" fontId="0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2" numFmtId="0" xfId="0" applyBorder="1" applyFont="1"/>
    <xf borderId="1" fillId="2" fontId="1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center" readingOrder="0" vertical="center"/>
    </xf>
    <xf borderId="1" fillId="9" fontId="2" numFmtId="4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1" fillId="9" fontId="2" numFmtId="3" xfId="0" applyAlignment="1" applyBorder="1" applyFont="1" applyNumberFormat="1">
      <alignment horizontal="center" readingOrder="0" vertical="center"/>
    </xf>
    <xf borderId="0" fillId="9" fontId="2" numFmtId="165" xfId="0" applyAlignment="1" applyFont="1" applyNumberFormat="1">
      <alignment horizontal="center" readingOrder="0" vertical="center"/>
    </xf>
    <xf borderId="1" fillId="10" fontId="2" numFmtId="4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 vertical="center"/>
    </xf>
    <xf borderId="1" fillId="9" fontId="2" numFmtId="2" xfId="0" applyAlignment="1" applyBorder="1" applyFont="1" applyNumberFormat="1">
      <alignment horizontal="center" readingOrder="0" vertical="center"/>
    </xf>
    <xf borderId="1" fillId="9" fontId="2" numFmtId="1" xfId="0" applyAlignment="1" applyBorder="1" applyFont="1" applyNumberFormat="1">
      <alignment horizontal="center" readingOrder="0" vertical="center"/>
    </xf>
    <xf borderId="0" fillId="0" fontId="2" numFmtId="165" xfId="0" applyFont="1" applyNumberFormat="1"/>
    <xf borderId="1" fillId="9" fontId="2" numFmtId="165" xfId="0" applyAlignment="1" applyBorder="1" applyFont="1" applyNumberFormat="1">
      <alignment readingOrder="0" vertical="center"/>
    </xf>
    <xf borderId="1" fillId="9" fontId="2" numFmtId="3" xfId="0" applyAlignment="1" applyBorder="1" applyFont="1" applyNumberFormat="1">
      <alignment readingOrder="0" vertical="center"/>
    </xf>
    <xf borderId="1" fillId="7" fontId="2" numFmtId="164" xfId="0" applyAlignment="1" applyBorder="1" applyFont="1" applyNumberFormat="1">
      <alignment vertical="center"/>
    </xf>
    <xf borderId="1" fillId="7" fontId="1" numFmtId="3" xfId="0" applyAlignment="1" applyBorder="1" applyFont="1" applyNumberFormat="1">
      <alignment vertical="center"/>
    </xf>
    <xf borderId="1" fillId="2" fontId="1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9" xfId="0" applyAlignment="1" applyBorder="1" applyFont="1" applyNumberFormat="1">
      <alignment horizontal="right" readingOrder="0" vertical="top"/>
    </xf>
    <xf borderId="1" fillId="0" fontId="2" numFmtId="4" xfId="0" applyAlignment="1" applyBorder="1" applyFont="1" applyNumberFormat="1">
      <alignment readingOrder="0" vertical="top"/>
    </xf>
    <xf borderId="1" fillId="0" fontId="2" numFmtId="3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2.25"/>
    <col customWidth="1" min="3" max="3" width="24.25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11</v>
      </c>
      <c r="B2" s="2" t="s">
        <v>12</v>
      </c>
      <c r="C2" s="2" t="s">
        <v>13</v>
      </c>
      <c r="D2" s="3" t="s">
        <v>14</v>
      </c>
      <c r="E2" s="4"/>
      <c r="F2" s="4"/>
      <c r="G2" s="4"/>
      <c r="H2" s="4"/>
      <c r="I2" s="4"/>
      <c r="J2" s="4"/>
      <c r="K2" s="4"/>
    </row>
    <row r="3" ht="27.75" customHeight="1">
      <c r="A3" s="5"/>
      <c r="B3" s="5"/>
      <c r="C3" s="5"/>
      <c r="D3" s="3" t="s">
        <v>15</v>
      </c>
      <c r="E3" s="6">
        <v>0.647</v>
      </c>
      <c r="F3" s="6">
        <v>0.682</v>
      </c>
      <c r="G3" s="6">
        <v>0.75</v>
      </c>
      <c r="H3" s="6">
        <v>0.961</v>
      </c>
      <c r="I3" s="6">
        <v>95.0</v>
      </c>
      <c r="J3" s="6">
        <v>363.0</v>
      </c>
      <c r="K3" s="6">
        <v>4181.0</v>
      </c>
    </row>
    <row r="4" ht="27.75" customHeight="1">
      <c r="A4" s="7"/>
      <c r="B4" s="7"/>
      <c r="C4" s="7"/>
      <c r="D4" s="3" t="s">
        <v>16</v>
      </c>
      <c r="E4" s="8">
        <v>0.647</v>
      </c>
      <c r="F4" s="8">
        <v>0.67</v>
      </c>
      <c r="G4" s="8">
        <v>0.72</v>
      </c>
      <c r="H4" s="8">
        <v>0.967</v>
      </c>
      <c r="I4" s="8">
        <v>37.0</v>
      </c>
      <c r="J4" s="8">
        <v>300.0</v>
      </c>
      <c r="K4" s="8">
        <v>4328.0</v>
      </c>
    </row>
    <row r="5" ht="27.75" customHeight="1">
      <c r="A5" s="2" t="s">
        <v>11</v>
      </c>
      <c r="B5" s="2" t="s">
        <v>17</v>
      </c>
      <c r="C5" s="2" t="s">
        <v>13</v>
      </c>
      <c r="D5" s="3" t="s">
        <v>14</v>
      </c>
      <c r="E5" s="4"/>
      <c r="F5" s="4"/>
      <c r="G5" s="4"/>
      <c r="H5" s="4"/>
      <c r="I5" s="4"/>
      <c r="J5" s="4"/>
      <c r="K5" s="4"/>
    </row>
    <row r="6" ht="27.75" customHeight="1">
      <c r="A6" s="5"/>
      <c r="B6" s="5"/>
      <c r="C6" s="5"/>
      <c r="D6" s="3" t="s">
        <v>15</v>
      </c>
      <c r="E6" s="6">
        <v>0.604</v>
      </c>
      <c r="F6" s="9">
        <v>0.72</v>
      </c>
      <c r="G6" s="6">
        <v>0.83</v>
      </c>
      <c r="H6" s="6">
        <v>0.85</v>
      </c>
      <c r="I6" s="6">
        <v>153.0</v>
      </c>
      <c r="J6" s="6">
        <v>5706.0</v>
      </c>
      <c r="K6" s="6">
        <v>12893.0</v>
      </c>
    </row>
    <row r="7" ht="27.75" customHeight="1">
      <c r="A7" s="7"/>
      <c r="B7" s="7"/>
      <c r="C7" s="7"/>
      <c r="D7" s="3" t="s">
        <v>16</v>
      </c>
      <c r="E7" s="10">
        <v>0.611</v>
      </c>
      <c r="F7" s="8">
        <v>0.73</v>
      </c>
      <c r="G7" s="8">
        <v>0.88</v>
      </c>
      <c r="H7" s="8">
        <v>0.86</v>
      </c>
      <c r="I7" s="8">
        <v>7.0</v>
      </c>
      <c r="J7" s="8">
        <v>5338.0</v>
      </c>
      <c r="K7" s="8">
        <v>12291.0</v>
      </c>
    </row>
    <row r="8" ht="27.75" customHeight="1">
      <c r="A8" s="2" t="s">
        <v>11</v>
      </c>
      <c r="B8" s="2" t="s">
        <v>18</v>
      </c>
      <c r="C8" s="2" t="s">
        <v>13</v>
      </c>
      <c r="D8" s="3" t="s">
        <v>14</v>
      </c>
      <c r="E8" s="4"/>
      <c r="F8" s="4"/>
      <c r="G8" s="4"/>
      <c r="H8" s="4"/>
      <c r="I8" s="4"/>
      <c r="J8" s="4"/>
      <c r="K8" s="4"/>
    </row>
    <row r="9" ht="27.75" customHeight="1">
      <c r="A9" s="5"/>
      <c r="B9" s="5"/>
      <c r="C9" s="5"/>
      <c r="D9" s="3" t="s">
        <v>15</v>
      </c>
      <c r="E9" s="6">
        <v>0.697</v>
      </c>
      <c r="F9" s="6">
        <v>0.79</v>
      </c>
      <c r="G9" s="6">
        <v>0.873</v>
      </c>
      <c r="H9" s="6">
        <v>0.903</v>
      </c>
      <c r="I9" s="6">
        <v>80.0</v>
      </c>
      <c r="J9" s="6">
        <v>472.0</v>
      </c>
      <c r="K9" s="6">
        <v>1123.0</v>
      </c>
    </row>
    <row r="10" ht="27.75" customHeight="1">
      <c r="A10" s="7"/>
      <c r="B10" s="7"/>
      <c r="C10" s="7"/>
      <c r="D10" s="3" t="s">
        <v>16</v>
      </c>
      <c r="E10" s="11">
        <v>0.704</v>
      </c>
      <c r="F10" s="11">
        <v>0.797</v>
      </c>
      <c r="G10" s="11">
        <v>0.901</v>
      </c>
      <c r="H10" s="11">
        <v>0.904</v>
      </c>
      <c r="I10" s="11">
        <v>46.0</v>
      </c>
      <c r="J10" s="11">
        <v>469.0</v>
      </c>
      <c r="K10" s="11">
        <v>1122.0</v>
      </c>
    </row>
    <row r="11" ht="27.75" customHeight="1">
      <c r="A11" s="2" t="s">
        <v>11</v>
      </c>
      <c r="B11" s="2" t="s">
        <v>19</v>
      </c>
      <c r="C11" s="2" t="s">
        <v>13</v>
      </c>
      <c r="D11" s="3" t="s">
        <v>14</v>
      </c>
      <c r="E11" s="4"/>
      <c r="F11" s="4"/>
      <c r="G11" s="4"/>
      <c r="H11" s="4"/>
      <c r="I11" s="4"/>
      <c r="J11" s="4"/>
      <c r="K11" s="4"/>
    </row>
    <row r="12" ht="27.75" customHeight="1">
      <c r="A12" s="5"/>
      <c r="B12" s="5"/>
      <c r="C12" s="5"/>
      <c r="D12" s="3" t="s">
        <v>15</v>
      </c>
      <c r="E12" s="6">
        <v>0.743</v>
      </c>
      <c r="F12" s="9">
        <v>0.79</v>
      </c>
      <c r="G12" s="6">
        <v>0.73</v>
      </c>
      <c r="H12" s="6">
        <v>0.952</v>
      </c>
      <c r="I12" s="6">
        <v>56.0</v>
      </c>
      <c r="J12" s="6">
        <v>174.0</v>
      </c>
      <c r="K12" s="6">
        <v>884.0</v>
      </c>
    </row>
    <row r="13" ht="27.75" customHeight="1">
      <c r="A13" s="7"/>
      <c r="B13" s="7"/>
      <c r="C13" s="7"/>
      <c r="D13" s="3" t="s">
        <v>16</v>
      </c>
      <c r="E13" s="8">
        <v>0.753</v>
      </c>
      <c r="F13" s="8">
        <v>0.796</v>
      </c>
      <c r="G13" s="8">
        <v>0.792</v>
      </c>
      <c r="H13" s="8">
        <v>0.953</v>
      </c>
      <c r="I13" s="8">
        <v>15.0</v>
      </c>
      <c r="J13" s="8">
        <v>171.0</v>
      </c>
      <c r="K13" s="8">
        <v>884.0</v>
      </c>
    </row>
    <row r="14" ht="27.75" customHeight="1">
      <c r="A14" s="2" t="s">
        <v>11</v>
      </c>
      <c r="B14" s="2" t="s">
        <v>20</v>
      </c>
      <c r="C14" s="2" t="s">
        <v>13</v>
      </c>
      <c r="D14" s="3" t="s">
        <v>14</v>
      </c>
      <c r="E14" s="4"/>
      <c r="F14" s="4"/>
      <c r="G14" s="4"/>
      <c r="H14" s="4"/>
      <c r="I14" s="4"/>
      <c r="J14" s="4"/>
      <c r="K14" s="4"/>
    </row>
    <row r="15" ht="27.75" customHeight="1">
      <c r="A15" s="5"/>
      <c r="B15" s="5"/>
      <c r="C15" s="5"/>
      <c r="D15" s="3" t="s">
        <v>15</v>
      </c>
      <c r="E15" s="6">
        <v>0.74</v>
      </c>
      <c r="F15" s="9">
        <v>0.812</v>
      </c>
      <c r="G15" s="6">
        <v>0.75</v>
      </c>
      <c r="H15" s="6">
        <v>0.933</v>
      </c>
      <c r="I15" s="6">
        <v>128.0</v>
      </c>
      <c r="J15" s="6">
        <v>680.0</v>
      </c>
      <c r="K15" s="6">
        <v>2190.0</v>
      </c>
    </row>
    <row r="16" ht="27.75" customHeight="1">
      <c r="A16" s="7"/>
      <c r="B16" s="7"/>
      <c r="C16" s="7"/>
      <c r="D16" s="3" t="s">
        <v>16</v>
      </c>
      <c r="E16" s="8">
        <v>0.746</v>
      </c>
      <c r="F16" s="8">
        <v>0.809</v>
      </c>
      <c r="G16" s="8">
        <v>0.717</v>
      </c>
      <c r="H16" s="8">
        <v>0.935</v>
      </c>
      <c r="I16" s="8">
        <v>76.0</v>
      </c>
      <c r="J16" s="8">
        <v>654.0</v>
      </c>
      <c r="K16" s="8">
        <v>2225.0</v>
      </c>
    </row>
    <row r="17" ht="27.75" customHeight="1">
      <c r="A17" s="2" t="s">
        <v>11</v>
      </c>
      <c r="B17" s="2" t="s">
        <v>21</v>
      </c>
      <c r="C17" s="2" t="s">
        <v>13</v>
      </c>
      <c r="D17" s="3" t="s">
        <v>14</v>
      </c>
      <c r="E17" s="4"/>
      <c r="F17" s="4"/>
      <c r="G17" s="4"/>
      <c r="H17" s="4"/>
      <c r="I17" s="4"/>
      <c r="J17" s="4"/>
      <c r="K17" s="4"/>
    </row>
    <row r="18" ht="27.75" customHeight="1">
      <c r="A18" s="5"/>
      <c r="B18" s="5"/>
      <c r="C18" s="5"/>
      <c r="D18" s="3" t="s">
        <v>15</v>
      </c>
      <c r="E18" s="6">
        <v>0.85</v>
      </c>
      <c r="F18" s="9">
        <v>0.902</v>
      </c>
      <c r="G18" s="6">
        <v>0.82</v>
      </c>
      <c r="H18" s="6">
        <v>0.949</v>
      </c>
      <c r="I18" s="6">
        <v>30.0</v>
      </c>
      <c r="J18" s="6">
        <v>404.0</v>
      </c>
      <c r="K18" s="6">
        <v>820.0</v>
      </c>
    </row>
    <row r="19" ht="27.75" customHeight="1">
      <c r="A19" s="7"/>
      <c r="B19" s="7"/>
      <c r="C19" s="7"/>
      <c r="D19" s="3" t="s">
        <v>16</v>
      </c>
      <c r="E19" s="12">
        <v>0.85</v>
      </c>
      <c r="F19" s="12">
        <v>0.904</v>
      </c>
      <c r="G19" s="12">
        <v>0.877</v>
      </c>
      <c r="H19" s="12">
        <v>0.953</v>
      </c>
      <c r="I19" s="12">
        <v>12.0</v>
      </c>
      <c r="J19" s="12">
        <v>27.0</v>
      </c>
      <c r="K19" s="12">
        <v>1474.0</v>
      </c>
    </row>
    <row r="20" ht="27.75" customHeight="1">
      <c r="A20" s="2" t="s">
        <v>11</v>
      </c>
      <c r="B20" s="2" t="s">
        <v>22</v>
      </c>
      <c r="C20" s="2" t="s">
        <v>13</v>
      </c>
      <c r="D20" s="3" t="s">
        <v>14</v>
      </c>
      <c r="E20" s="4"/>
      <c r="F20" s="4"/>
      <c r="G20" s="4"/>
      <c r="H20" s="4"/>
      <c r="I20" s="4"/>
      <c r="J20" s="4"/>
      <c r="K20" s="4"/>
    </row>
    <row r="21" ht="27.75" customHeight="1">
      <c r="A21" s="5"/>
      <c r="B21" s="5"/>
      <c r="C21" s="5"/>
      <c r="D21" s="3" t="s">
        <v>23</v>
      </c>
      <c r="E21" s="6">
        <v>0.698</v>
      </c>
      <c r="F21" s="9">
        <v>0.774</v>
      </c>
      <c r="G21" s="6">
        <v>0.796</v>
      </c>
      <c r="H21" s="6">
        <v>0.94</v>
      </c>
      <c r="I21" s="6">
        <v>319.0</v>
      </c>
      <c r="J21" s="6">
        <v>570.0</v>
      </c>
      <c r="K21" s="6">
        <v>2605.0</v>
      </c>
    </row>
    <row r="22" ht="27.75" customHeight="1">
      <c r="A22" s="7"/>
      <c r="B22" s="7"/>
      <c r="C22" s="7"/>
      <c r="D22" s="3" t="s">
        <v>16</v>
      </c>
      <c r="E22" s="12">
        <v>0.71</v>
      </c>
      <c r="F22" s="12">
        <v>0.759</v>
      </c>
      <c r="G22" s="12">
        <v>0.72</v>
      </c>
      <c r="H22" s="12">
        <v>0.945</v>
      </c>
      <c r="I22" s="12">
        <v>182.0</v>
      </c>
      <c r="J22" s="12">
        <v>509.0</v>
      </c>
      <c r="K22" s="12">
        <v>2778.0</v>
      </c>
    </row>
    <row r="23" ht="31.5" customHeight="1">
      <c r="D23" s="3"/>
      <c r="E23" s="13"/>
      <c r="F23" s="13"/>
      <c r="G23" s="13"/>
      <c r="H23" s="13"/>
      <c r="I23" s="14"/>
      <c r="J23" s="15"/>
      <c r="K23" s="15"/>
    </row>
    <row r="24" ht="31.5" customHeight="1">
      <c r="D24" s="16" t="s">
        <v>24</v>
      </c>
      <c r="E24" s="17">
        <f t="shared" ref="E24:H24" si="1">AVERAGE(E3,E6,E9,E12,E15,E18,E21)</f>
        <v>0.7112857143</v>
      </c>
      <c r="F24" s="17">
        <f t="shared" si="1"/>
        <v>0.7814285714</v>
      </c>
      <c r="G24" s="17">
        <f t="shared" si="1"/>
        <v>0.7927142857</v>
      </c>
      <c r="H24" s="17">
        <f t="shared" si="1"/>
        <v>0.9268571429</v>
      </c>
      <c r="I24" s="18">
        <f t="shared" ref="I24:K24" si="2">SUM(I3,I6,I9,I12,I15,I18,I21)</f>
        <v>861</v>
      </c>
      <c r="J24" s="19">
        <f t="shared" si="2"/>
        <v>8369</v>
      </c>
      <c r="K24" s="19">
        <f t="shared" si="2"/>
        <v>24696</v>
      </c>
    </row>
    <row r="25" ht="33.0" customHeight="1">
      <c r="D25" s="20" t="s">
        <v>25</v>
      </c>
      <c r="E25" s="21">
        <f t="shared" ref="E25:F25" si="3">AVERAGE(E22,E19,E16,E13,E10,E7,E4)</f>
        <v>0.7172857143</v>
      </c>
      <c r="F25" s="21">
        <f t="shared" si="3"/>
        <v>0.7807142857</v>
      </c>
      <c r="G25" s="21">
        <f>AVERAGE(G4,G7,G10,G13,G16,G19,G22)</f>
        <v>0.801</v>
      </c>
      <c r="H25" s="21">
        <f>AVERAGE(H22,H19,H16,H13,H10,H7,H4)</f>
        <v>0.931</v>
      </c>
      <c r="I25" s="22">
        <f t="shared" ref="I25:K25" si="4">SUM(I4,I7,I10,I13,I16,I19,I22)</f>
        <v>375</v>
      </c>
      <c r="J25" s="23">
        <f t="shared" si="4"/>
        <v>7468</v>
      </c>
      <c r="K25" s="23">
        <f t="shared" si="4"/>
        <v>25102</v>
      </c>
    </row>
    <row r="28" ht="30.75" customHeight="1">
      <c r="A28" s="24" t="s">
        <v>0</v>
      </c>
      <c r="B28" s="24" t="s">
        <v>1</v>
      </c>
      <c r="C28" s="24" t="s">
        <v>2</v>
      </c>
      <c r="D28" s="24" t="s">
        <v>3</v>
      </c>
      <c r="E28" s="24" t="s">
        <v>4</v>
      </c>
      <c r="F28" s="24" t="s">
        <v>5</v>
      </c>
      <c r="G28" s="24" t="s">
        <v>6</v>
      </c>
      <c r="H28" s="24" t="s">
        <v>7</v>
      </c>
      <c r="I28" s="24" t="s">
        <v>8</v>
      </c>
      <c r="J28" s="24" t="s">
        <v>9</v>
      </c>
      <c r="K28" s="24" t="s">
        <v>10</v>
      </c>
    </row>
    <row r="29" ht="30.75" customHeight="1">
      <c r="A29" s="25" t="s">
        <v>11</v>
      </c>
      <c r="B29" s="25" t="s">
        <v>12</v>
      </c>
      <c r="C29" s="26" t="s">
        <v>26</v>
      </c>
      <c r="D29" s="27" t="s">
        <v>14</v>
      </c>
      <c r="E29" s="27"/>
      <c r="F29" s="27"/>
      <c r="G29" s="27"/>
      <c r="H29" s="27"/>
      <c r="I29" s="27"/>
      <c r="J29" s="27"/>
      <c r="K29" s="27"/>
    </row>
    <row r="30" ht="30.75" customHeight="1">
      <c r="A30" s="7"/>
      <c r="B30" s="7"/>
      <c r="C30" s="7"/>
      <c r="D30" s="27" t="s">
        <v>15</v>
      </c>
      <c r="E30" s="3">
        <v>0.674</v>
      </c>
      <c r="F30" s="3">
        <v>0.701</v>
      </c>
      <c r="G30" s="3">
        <v>0.8</v>
      </c>
      <c r="H30" s="3">
        <v>0.967</v>
      </c>
      <c r="I30" s="3">
        <v>48.0</v>
      </c>
      <c r="J30" s="3">
        <v>397.0</v>
      </c>
      <c r="K30" s="3">
        <v>5007.0</v>
      </c>
    </row>
    <row r="31" ht="30.0" customHeight="1">
      <c r="A31" s="25" t="s">
        <v>11</v>
      </c>
      <c r="B31" s="25" t="s">
        <v>17</v>
      </c>
      <c r="C31" s="26" t="s">
        <v>26</v>
      </c>
      <c r="D31" s="27" t="s">
        <v>14</v>
      </c>
      <c r="E31" s="27"/>
      <c r="F31" s="27"/>
      <c r="G31" s="27"/>
      <c r="H31" s="27"/>
      <c r="I31" s="27"/>
      <c r="J31" s="27"/>
      <c r="K31" s="27"/>
    </row>
    <row r="32" ht="30.0" customHeight="1">
      <c r="A32" s="7"/>
      <c r="B32" s="7"/>
      <c r="C32" s="7"/>
      <c r="D32" s="27" t="s">
        <v>15</v>
      </c>
      <c r="E32" s="28">
        <v>0.707</v>
      </c>
      <c r="F32" s="28">
        <v>0.824</v>
      </c>
      <c r="G32" s="28">
        <v>0.98</v>
      </c>
      <c r="H32" s="28">
        <v>0.876</v>
      </c>
      <c r="I32" s="29">
        <v>15.0</v>
      </c>
      <c r="J32" s="29">
        <v>6072.0</v>
      </c>
      <c r="K32" s="29">
        <v>9168.0</v>
      </c>
    </row>
    <row r="33" ht="32.25" customHeight="1">
      <c r="A33" s="25" t="s">
        <v>11</v>
      </c>
      <c r="B33" s="25" t="s">
        <v>18</v>
      </c>
      <c r="C33" s="26" t="s">
        <v>26</v>
      </c>
      <c r="D33" s="27" t="s">
        <v>14</v>
      </c>
      <c r="E33" s="27"/>
      <c r="F33" s="27"/>
      <c r="G33" s="27"/>
      <c r="H33" s="27"/>
      <c r="I33" s="27"/>
      <c r="J33" s="27"/>
      <c r="K33" s="27"/>
    </row>
    <row r="34" ht="30.0" customHeight="1">
      <c r="A34" s="7"/>
      <c r="B34" s="7"/>
      <c r="C34" s="7"/>
      <c r="D34" s="27" t="s">
        <v>15</v>
      </c>
      <c r="E34" s="28">
        <v>0.777</v>
      </c>
      <c r="F34" s="28">
        <v>0.864</v>
      </c>
      <c r="G34" s="28">
        <v>0.902</v>
      </c>
      <c r="H34" s="28">
        <v>0.914</v>
      </c>
      <c r="I34" s="30">
        <v>33.0</v>
      </c>
      <c r="J34" s="30">
        <v>457.0</v>
      </c>
      <c r="K34" s="30">
        <v>767.0</v>
      </c>
    </row>
    <row r="35" ht="30.75" customHeight="1">
      <c r="A35" s="25" t="s">
        <v>11</v>
      </c>
      <c r="B35" s="25" t="s">
        <v>19</v>
      </c>
      <c r="C35" s="26" t="s">
        <v>26</v>
      </c>
      <c r="D35" s="27" t="s">
        <v>14</v>
      </c>
      <c r="E35" s="27"/>
      <c r="F35" s="27"/>
      <c r="G35" s="27"/>
      <c r="H35" s="27"/>
      <c r="I35" s="27"/>
      <c r="J35" s="27"/>
      <c r="K35" s="27"/>
    </row>
    <row r="36" ht="30.0" customHeight="1">
      <c r="A36" s="7"/>
      <c r="B36" s="7"/>
      <c r="C36" s="7"/>
      <c r="D36" s="27" t="s">
        <v>15</v>
      </c>
      <c r="E36" s="28">
        <v>0.862</v>
      </c>
      <c r="F36" s="28">
        <v>0.901</v>
      </c>
      <c r="G36" s="28">
        <v>0.85</v>
      </c>
      <c r="H36" s="28">
        <v>0.961</v>
      </c>
      <c r="I36" s="30">
        <v>9.0</v>
      </c>
      <c r="J36" s="30">
        <v>170.0</v>
      </c>
      <c r="K36" s="30">
        <v>467.0</v>
      </c>
    </row>
    <row r="37" ht="32.25" customHeight="1">
      <c r="A37" s="25" t="s">
        <v>11</v>
      </c>
      <c r="B37" s="25" t="s">
        <v>20</v>
      </c>
      <c r="C37" s="26" t="s">
        <v>26</v>
      </c>
      <c r="D37" s="27" t="s">
        <v>14</v>
      </c>
      <c r="E37" s="27"/>
      <c r="F37" s="27"/>
      <c r="G37" s="27"/>
      <c r="H37" s="27"/>
      <c r="I37" s="27"/>
      <c r="J37" s="27"/>
      <c r="K37" s="27"/>
    </row>
    <row r="38" ht="29.25" customHeight="1">
      <c r="A38" s="7"/>
      <c r="B38" s="7"/>
      <c r="C38" s="7"/>
      <c r="D38" s="27" t="s">
        <v>15</v>
      </c>
      <c r="E38" s="28">
        <v>0.724</v>
      </c>
      <c r="F38" s="28">
        <v>0.762</v>
      </c>
      <c r="G38" s="28">
        <v>0.76</v>
      </c>
      <c r="H38" s="28">
        <v>0.957</v>
      </c>
      <c r="I38" s="30">
        <v>54.0</v>
      </c>
      <c r="J38" s="30">
        <v>436.0</v>
      </c>
      <c r="K38" s="30">
        <v>3039.0</v>
      </c>
    </row>
    <row r="39" ht="30.75" customHeight="1">
      <c r="A39" s="25" t="s">
        <v>11</v>
      </c>
      <c r="B39" s="25" t="s">
        <v>21</v>
      </c>
      <c r="C39" s="26" t="s">
        <v>26</v>
      </c>
      <c r="D39" s="27" t="s">
        <v>14</v>
      </c>
      <c r="E39" s="27"/>
      <c r="F39" s="27"/>
      <c r="G39" s="27"/>
      <c r="H39" s="27"/>
      <c r="I39" s="27"/>
      <c r="J39" s="27"/>
      <c r="K39" s="27"/>
    </row>
    <row r="40" ht="30.75" customHeight="1">
      <c r="A40" s="7"/>
      <c r="B40" s="7"/>
      <c r="C40" s="7"/>
      <c r="D40" s="27" t="s">
        <v>15</v>
      </c>
      <c r="E40" s="28">
        <v>0.861</v>
      </c>
      <c r="F40" s="28">
        <v>0.904</v>
      </c>
      <c r="G40" s="28">
        <v>0.883</v>
      </c>
      <c r="H40" s="28">
        <v>0.957</v>
      </c>
      <c r="I40" s="30">
        <v>9.0</v>
      </c>
      <c r="J40" s="30">
        <v>346.0</v>
      </c>
      <c r="K40" s="30">
        <v>812.0</v>
      </c>
    </row>
    <row r="41" ht="29.25" customHeight="1">
      <c r="A41" s="25" t="s">
        <v>11</v>
      </c>
      <c r="B41" s="25" t="s">
        <v>22</v>
      </c>
      <c r="C41" s="26" t="s">
        <v>26</v>
      </c>
      <c r="D41" s="27" t="s">
        <v>14</v>
      </c>
      <c r="E41" s="27"/>
      <c r="F41" s="27"/>
      <c r="G41" s="27"/>
      <c r="H41" s="27"/>
      <c r="I41" s="27"/>
      <c r="J41" s="27"/>
      <c r="K41" s="27"/>
    </row>
    <row r="42" ht="32.25" customHeight="1">
      <c r="A42" s="7"/>
      <c r="B42" s="7"/>
      <c r="C42" s="7"/>
      <c r="D42" s="27" t="s">
        <v>15</v>
      </c>
      <c r="E42" s="28">
        <v>0.717</v>
      </c>
      <c r="F42" s="28">
        <v>0.759</v>
      </c>
      <c r="G42" s="28">
        <v>0.842</v>
      </c>
      <c r="H42" s="28">
        <v>0.957</v>
      </c>
      <c r="I42" s="30">
        <v>93.0</v>
      </c>
      <c r="J42" s="30">
        <v>393.0</v>
      </c>
      <c r="K42" s="30">
        <v>2783.0</v>
      </c>
    </row>
    <row r="43">
      <c r="D43" s="31" t="s">
        <v>27</v>
      </c>
      <c r="E43" s="32">
        <f t="shared" ref="E43:H43" si="5">AVERAGE(E30:E42)</f>
        <v>0.7602857143</v>
      </c>
      <c r="F43" s="32">
        <f t="shared" si="5"/>
        <v>0.8164285714</v>
      </c>
      <c r="G43" s="32">
        <f t="shared" si="5"/>
        <v>0.8595714286</v>
      </c>
      <c r="H43" s="32">
        <f t="shared" si="5"/>
        <v>0.9412857143</v>
      </c>
      <c r="I43" s="33">
        <f>SUM(I30:I42)</f>
        <v>261</v>
      </c>
      <c r="J43" s="33">
        <f t="shared" ref="J43:K43" si="6">SUM(J29:J42)</f>
        <v>8271</v>
      </c>
      <c r="K43" s="33">
        <f t="shared" si="6"/>
        <v>22043</v>
      </c>
    </row>
  </sheetData>
  <mergeCells count="42">
    <mergeCell ref="B37:B38"/>
    <mergeCell ref="C37:C38"/>
    <mergeCell ref="A33:A34"/>
    <mergeCell ref="B33:B34"/>
    <mergeCell ref="C33:C34"/>
    <mergeCell ref="A35:A36"/>
    <mergeCell ref="B35:B36"/>
    <mergeCell ref="C35:C36"/>
    <mergeCell ref="A37:A38"/>
    <mergeCell ref="B8:B10"/>
    <mergeCell ref="C8:C10"/>
    <mergeCell ref="A2:A4"/>
    <mergeCell ref="B2:B4"/>
    <mergeCell ref="C2:C4"/>
    <mergeCell ref="A5:A7"/>
    <mergeCell ref="B5:B7"/>
    <mergeCell ref="C5:C7"/>
    <mergeCell ref="A8:A10"/>
    <mergeCell ref="B17:B19"/>
    <mergeCell ref="C17:C19"/>
    <mergeCell ref="A11:A13"/>
    <mergeCell ref="B11:B13"/>
    <mergeCell ref="C11:C13"/>
    <mergeCell ref="A14:A16"/>
    <mergeCell ref="B14:B16"/>
    <mergeCell ref="C14:C16"/>
    <mergeCell ref="A17:A19"/>
    <mergeCell ref="B31:B32"/>
    <mergeCell ref="C31:C32"/>
    <mergeCell ref="A20:A22"/>
    <mergeCell ref="B20:B22"/>
    <mergeCell ref="C20:C22"/>
    <mergeCell ref="A29:A30"/>
    <mergeCell ref="B29:B30"/>
    <mergeCell ref="C29:C30"/>
    <mergeCell ref="A31:A32"/>
    <mergeCell ref="A39:A40"/>
    <mergeCell ref="B39:B40"/>
    <mergeCell ref="C39:C40"/>
    <mergeCell ref="A41:A42"/>
    <mergeCell ref="B41:B42"/>
    <mergeCell ref="C41:C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2.25"/>
    <col customWidth="1" min="3" max="3" width="24.25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11</v>
      </c>
      <c r="B2" s="2" t="s">
        <v>12</v>
      </c>
      <c r="C2" s="2" t="s">
        <v>13</v>
      </c>
      <c r="D2" s="34" t="s">
        <v>28</v>
      </c>
      <c r="E2" s="35">
        <v>0.651</v>
      </c>
      <c r="F2" s="35">
        <v>0.68</v>
      </c>
      <c r="G2" s="35">
        <v>0.7</v>
      </c>
      <c r="H2" s="35">
        <v>0.966</v>
      </c>
      <c r="I2" s="35">
        <v>114.0</v>
      </c>
      <c r="J2" s="35">
        <v>312.0</v>
      </c>
      <c r="K2" s="35">
        <v>4156.0</v>
      </c>
    </row>
    <row r="3" ht="27.75" customHeight="1">
      <c r="A3" s="5"/>
      <c r="B3" s="5"/>
      <c r="C3" s="5"/>
      <c r="D3" s="34" t="s">
        <v>29</v>
      </c>
      <c r="E3" s="35" t="s">
        <v>30</v>
      </c>
      <c r="F3" s="35" t="s">
        <v>30</v>
      </c>
      <c r="G3" s="35" t="s">
        <v>30</v>
      </c>
      <c r="H3" s="35" t="s">
        <v>30</v>
      </c>
      <c r="I3" s="35" t="s">
        <v>30</v>
      </c>
      <c r="J3" s="35" t="s">
        <v>30</v>
      </c>
      <c r="K3" s="35" t="s">
        <v>30</v>
      </c>
    </row>
    <row r="4" ht="27.75" customHeight="1">
      <c r="A4" s="5"/>
      <c r="B4" s="5"/>
      <c r="C4" s="5"/>
      <c r="D4" s="34" t="s">
        <v>16</v>
      </c>
      <c r="E4" s="35">
        <v>0.647</v>
      </c>
      <c r="F4" s="35">
        <v>0.67</v>
      </c>
      <c r="G4" s="35">
        <v>0.72</v>
      </c>
      <c r="H4" s="35">
        <v>0.967</v>
      </c>
      <c r="I4" s="35">
        <v>37.0</v>
      </c>
      <c r="J4" s="35">
        <v>300.0</v>
      </c>
      <c r="K4" s="35">
        <v>4328.0</v>
      </c>
    </row>
    <row r="5" ht="27.75" customHeight="1">
      <c r="A5" s="5"/>
      <c r="B5" s="5"/>
      <c r="C5" s="5"/>
      <c r="D5" s="34" t="s">
        <v>31</v>
      </c>
      <c r="E5" s="35">
        <v>0.649</v>
      </c>
      <c r="F5" s="35">
        <v>0.679</v>
      </c>
      <c r="G5" s="35">
        <v>0.69</v>
      </c>
      <c r="H5" s="35">
        <v>0.963</v>
      </c>
      <c r="I5" s="35">
        <v>49.0</v>
      </c>
      <c r="J5" s="35">
        <v>346.0</v>
      </c>
      <c r="K5" s="35">
        <v>4212.0</v>
      </c>
    </row>
    <row r="6" ht="27.75" customHeight="1">
      <c r="A6" s="5"/>
      <c r="B6" s="5"/>
      <c r="C6" s="5"/>
      <c r="D6" s="34" t="s">
        <v>32</v>
      </c>
      <c r="E6" s="35">
        <v>0.649</v>
      </c>
      <c r="F6" s="35">
        <v>0.68</v>
      </c>
      <c r="G6" s="35" t="s">
        <v>33</v>
      </c>
      <c r="H6" s="35">
        <v>0.962</v>
      </c>
      <c r="I6" s="35">
        <v>65.0</v>
      </c>
      <c r="J6" s="35">
        <v>352.0</v>
      </c>
      <c r="K6" s="35">
        <v>4196.0</v>
      </c>
    </row>
    <row r="7" ht="27.75" customHeight="1">
      <c r="A7" s="5"/>
      <c r="B7" s="5"/>
      <c r="C7" s="5"/>
      <c r="D7" s="34" t="s">
        <v>34</v>
      </c>
      <c r="E7" s="35">
        <v>0.647</v>
      </c>
      <c r="F7" s="35">
        <v>0.67</v>
      </c>
      <c r="G7" s="35">
        <v>0.72</v>
      </c>
      <c r="H7" s="35">
        <v>0.963</v>
      </c>
      <c r="I7" s="35">
        <v>64.0</v>
      </c>
      <c r="J7" s="35">
        <v>339.0</v>
      </c>
      <c r="K7" s="35">
        <v>4236.0</v>
      </c>
    </row>
    <row r="8" ht="27.75" customHeight="1">
      <c r="A8" s="7"/>
      <c r="B8" s="7"/>
      <c r="C8" s="7"/>
      <c r="D8" s="34" t="s">
        <v>35</v>
      </c>
      <c r="E8" s="35">
        <v>0.63</v>
      </c>
      <c r="F8" s="35">
        <v>0.68</v>
      </c>
      <c r="G8" s="35">
        <v>0.501</v>
      </c>
      <c r="H8" s="35">
        <v>0.965</v>
      </c>
      <c r="I8" s="35">
        <v>359.0</v>
      </c>
      <c r="J8" s="35">
        <v>305.0</v>
      </c>
      <c r="K8" s="35">
        <v>4165.0</v>
      </c>
    </row>
    <row r="9" ht="27.75" customHeight="1">
      <c r="A9" s="36"/>
      <c r="B9" s="36"/>
      <c r="C9" s="36"/>
      <c r="D9" s="37"/>
      <c r="E9" s="38"/>
      <c r="F9" s="38"/>
      <c r="G9" s="38"/>
      <c r="H9" s="38"/>
      <c r="I9" s="38"/>
      <c r="J9" s="38"/>
      <c r="K9" s="38"/>
    </row>
    <row r="10" ht="27.75" customHeight="1">
      <c r="A10" s="2" t="s">
        <v>11</v>
      </c>
      <c r="B10" s="2" t="s">
        <v>17</v>
      </c>
      <c r="C10" s="2" t="s">
        <v>13</v>
      </c>
      <c r="D10" s="34" t="s">
        <v>28</v>
      </c>
      <c r="E10" s="35">
        <v>0.608</v>
      </c>
      <c r="F10" s="35" t="s">
        <v>36</v>
      </c>
      <c r="G10" s="35" t="s">
        <v>37</v>
      </c>
      <c r="H10" s="35">
        <v>0.86</v>
      </c>
      <c r="I10" s="35">
        <v>168.0</v>
      </c>
      <c r="J10" s="35">
        <v>5487.0</v>
      </c>
      <c r="K10" s="35">
        <v>12914.0</v>
      </c>
    </row>
    <row r="11" ht="27.75" customHeight="1">
      <c r="A11" s="5"/>
      <c r="B11" s="5"/>
      <c r="C11" s="5"/>
      <c r="D11" s="34" t="s">
        <v>29</v>
      </c>
      <c r="E11" s="35" t="s">
        <v>30</v>
      </c>
      <c r="F11" s="35" t="s">
        <v>30</v>
      </c>
      <c r="G11" s="35" t="s">
        <v>30</v>
      </c>
      <c r="H11" s="35" t="s">
        <v>30</v>
      </c>
      <c r="I11" s="35" t="s">
        <v>30</v>
      </c>
      <c r="J11" s="35" t="s">
        <v>30</v>
      </c>
      <c r="K11" s="35" t="s">
        <v>30</v>
      </c>
    </row>
    <row r="12" ht="27.75" customHeight="1">
      <c r="A12" s="5"/>
      <c r="B12" s="5"/>
      <c r="C12" s="5"/>
      <c r="D12" s="34" t="s">
        <v>16</v>
      </c>
      <c r="E12" s="35">
        <v>0.611</v>
      </c>
      <c r="F12" s="35">
        <v>0.73</v>
      </c>
      <c r="G12" s="35">
        <v>0.902</v>
      </c>
      <c r="H12" s="35">
        <v>0.86</v>
      </c>
      <c r="I12" s="35">
        <v>7.0</v>
      </c>
      <c r="J12" s="35">
        <v>5338.0</v>
      </c>
      <c r="K12" s="35">
        <v>12291.0</v>
      </c>
      <c r="L12" s="36" t="s">
        <v>38</v>
      </c>
    </row>
    <row r="13" ht="27.75" customHeight="1">
      <c r="A13" s="5"/>
      <c r="B13" s="5"/>
      <c r="C13" s="5"/>
      <c r="D13" s="34" t="s">
        <v>31</v>
      </c>
      <c r="E13" s="35">
        <v>0.607</v>
      </c>
      <c r="F13" s="35">
        <v>0.72</v>
      </c>
      <c r="G13" s="35">
        <v>0.905</v>
      </c>
      <c r="H13" s="35">
        <v>0.858</v>
      </c>
      <c r="I13" s="35">
        <v>6.0</v>
      </c>
      <c r="J13" s="35">
        <v>5705.0</v>
      </c>
      <c r="K13" s="35">
        <v>12895.0</v>
      </c>
      <c r="L13" s="36" t="s">
        <v>38</v>
      </c>
    </row>
    <row r="14" ht="27.75" customHeight="1">
      <c r="A14" s="5"/>
      <c r="B14" s="5"/>
      <c r="C14" s="5"/>
      <c r="D14" s="34" t="s">
        <v>32</v>
      </c>
      <c r="E14" s="35">
        <v>0.607</v>
      </c>
      <c r="F14" s="35" t="s">
        <v>36</v>
      </c>
      <c r="G14" s="35">
        <v>0.909</v>
      </c>
      <c r="H14" s="35">
        <v>0.858</v>
      </c>
      <c r="I14" s="35">
        <v>9.0</v>
      </c>
      <c r="J14" s="35">
        <v>5715.0</v>
      </c>
      <c r="K14" s="35">
        <v>12894.0</v>
      </c>
      <c r="L14" s="36" t="s">
        <v>38</v>
      </c>
    </row>
    <row r="15" ht="27.75" customHeight="1">
      <c r="A15" s="5"/>
      <c r="B15" s="5"/>
      <c r="C15" s="5"/>
      <c r="D15" s="34" t="s">
        <v>34</v>
      </c>
      <c r="E15" s="35">
        <v>0.607</v>
      </c>
      <c r="F15" s="35" t="s">
        <v>36</v>
      </c>
      <c r="G15" s="35" t="s">
        <v>39</v>
      </c>
      <c r="H15" s="35" t="s">
        <v>40</v>
      </c>
      <c r="I15" s="35"/>
      <c r="J15" s="35"/>
      <c r="K15" s="35"/>
      <c r="L15" s="36"/>
    </row>
    <row r="16" ht="27.75" customHeight="1">
      <c r="A16" s="7"/>
      <c r="B16" s="7"/>
      <c r="C16" s="7"/>
      <c r="D16" s="34" t="s">
        <v>35</v>
      </c>
      <c r="E16" s="35">
        <v>0.604</v>
      </c>
      <c r="F16" s="35">
        <v>0.72</v>
      </c>
      <c r="G16" s="35">
        <v>0.62</v>
      </c>
      <c r="H16" s="35">
        <v>0.86</v>
      </c>
      <c r="I16" s="35">
        <v>354.0</v>
      </c>
      <c r="J16" s="35">
        <v>5483.0</v>
      </c>
      <c r="K16" s="35">
        <v>12914.0</v>
      </c>
    </row>
    <row r="17" ht="27.75" customHeight="1">
      <c r="A17" s="36"/>
      <c r="B17" s="36"/>
      <c r="C17" s="36"/>
      <c r="D17" s="37"/>
      <c r="E17" s="38"/>
      <c r="F17" s="38"/>
      <c r="G17" s="38"/>
      <c r="H17" s="38"/>
      <c r="I17" s="38"/>
      <c r="J17" s="38"/>
      <c r="K17" s="38"/>
    </row>
    <row r="18" ht="27.75" customHeight="1">
      <c r="A18" s="2" t="s">
        <v>11</v>
      </c>
      <c r="B18" s="2" t="s">
        <v>18</v>
      </c>
      <c r="C18" s="2" t="s">
        <v>13</v>
      </c>
      <c r="D18" s="34" t="s">
        <v>28</v>
      </c>
      <c r="E18" s="39">
        <v>0.705</v>
      </c>
      <c r="F18" s="39">
        <v>0.794</v>
      </c>
      <c r="G18" s="39">
        <v>0.826</v>
      </c>
      <c r="H18" s="39">
        <v>0.918</v>
      </c>
      <c r="I18" s="39">
        <v>100.0</v>
      </c>
      <c r="J18" s="39">
        <v>390.0</v>
      </c>
      <c r="K18" s="39">
        <v>1139.0</v>
      </c>
    </row>
    <row r="19" ht="27.75" customHeight="1">
      <c r="A19" s="5"/>
      <c r="B19" s="5"/>
      <c r="C19" s="5"/>
      <c r="D19" s="34" t="s">
        <v>29</v>
      </c>
      <c r="E19" s="39" t="s">
        <v>30</v>
      </c>
      <c r="F19" s="39" t="s">
        <v>30</v>
      </c>
      <c r="G19" s="39" t="s">
        <v>30</v>
      </c>
      <c r="H19" s="39" t="s">
        <v>30</v>
      </c>
      <c r="I19" s="39" t="s">
        <v>30</v>
      </c>
      <c r="J19" s="39" t="s">
        <v>30</v>
      </c>
      <c r="K19" s="39" t="s">
        <v>30</v>
      </c>
    </row>
    <row r="20" ht="27.75" customHeight="1">
      <c r="A20" s="5"/>
      <c r="B20" s="5"/>
      <c r="C20" s="5"/>
      <c r="D20" s="34" t="s">
        <v>16</v>
      </c>
      <c r="E20" s="39">
        <v>0.704</v>
      </c>
      <c r="F20" s="39">
        <v>0.797</v>
      </c>
      <c r="G20" s="39">
        <v>0.901</v>
      </c>
      <c r="H20" s="39">
        <v>0.904</v>
      </c>
      <c r="I20" s="39">
        <v>46.0</v>
      </c>
      <c r="J20" s="39">
        <v>469.0</v>
      </c>
      <c r="K20" s="39">
        <v>1122.0</v>
      </c>
    </row>
    <row r="21" ht="27.75" customHeight="1">
      <c r="A21" s="5"/>
      <c r="B21" s="5"/>
      <c r="C21" s="5"/>
      <c r="D21" s="34" t="s">
        <v>31</v>
      </c>
      <c r="E21" s="39">
        <v>0.703</v>
      </c>
      <c r="F21" s="40">
        <v>0.797</v>
      </c>
      <c r="G21" s="39">
        <v>0.885</v>
      </c>
      <c r="H21" s="39">
        <v>0.903</v>
      </c>
      <c r="I21" s="39">
        <v>45.0</v>
      </c>
      <c r="J21" s="39">
        <v>471.0</v>
      </c>
      <c r="K21" s="39">
        <v>1123.0</v>
      </c>
    </row>
    <row r="22" ht="27.75" customHeight="1">
      <c r="A22" s="5"/>
      <c r="B22" s="5"/>
      <c r="C22" s="5"/>
      <c r="D22" s="34" t="s">
        <v>32</v>
      </c>
      <c r="E22" s="39">
        <v>0.704</v>
      </c>
      <c r="F22" s="40">
        <v>0.797</v>
      </c>
      <c r="G22" s="39">
        <v>0.891</v>
      </c>
      <c r="H22" s="39">
        <v>0.903</v>
      </c>
      <c r="I22" s="39">
        <v>44.0</v>
      </c>
      <c r="J22" s="39">
        <v>472.0</v>
      </c>
      <c r="K22" s="39">
        <v>1122.0</v>
      </c>
    </row>
    <row r="23" ht="27.75" customHeight="1">
      <c r="A23" s="7"/>
      <c r="B23" s="7"/>
      <c r="C23" s="7"/>
      <c r="D23" s="34" t="s">
        <v>35</v>
      </c>
      <c r="E23" s="39">
        <v>0.68</v>
      </c>
      <c r="F23" s="39">
        <v>0.79</v>
      </c>
      <c r="G23" s="39">
        <v>0.57</v>
      </c>
      <c r="H23" s="39">
        <v>0.91</v>
      </c>
      <c r="I23" s="39">
        <v>244.0</v>
      </c>
      <c r="J23" s="39">
        <v>389.0</v>
      </c>
      <c r="K23" s="39">
        <v>1138.0</v>
      </c>
    </row>
    <row r="24" ht="27.75" customHeight="1">
      <c r="A24" s="36"/>
      <c r="B24" s="36"/>
      <c r="C24" s="36"/>
      <c r="D24" s="37"/>
      <c r="E24" s="41"/>
      <c r="F24" s="41"/>
      <c r="G24" s="41"/>
      <c r="H24" s="41"/>
      <c r="I24" s="41"/>
      <c r="J24" s="41"/>
      <c r="K24" s="41"/>
    </row>
    <row r="25" ht="27.75" customHeight="1">
      <c r="A25" s="2" t="s">
        <v>11</v>
      </c>
      <c r="B25" s="2" t="s">
        <v>19</v>
      </c>
      <c r="C25" s="2" t="s">
        <v>13</v>
      </c>
      <c r="D25" s="34" t="s">
        <v>28</v>
      </c>
      <c r="E25" s="35">
        <v>0.758</v>
      </c>
      <c r="F25" s="35">
        <v>0.791</v>
      </c>
      <c r="G25" s="35">
        <v>0.737</v>
      </c>
      <c r="H25" s="42">
        <v>0.976</v>
      </c>
      <c r="I25" s="35">
        <v>57.0</v>
      </c>
      <c r="J25" s="35">
        <v>84.0</v>
      </c>
      <c r="K25" s="35">
        <v>906.0</v>
      </c>
    </row>
    <row r="26" ht="27.75" customHeight="1">
      <c r="A26" s="5"/>
      <c r="B26" s="5"/>
      <c r="C26" s="5"/>
      <c r="D26" s="34" t="s">
        <v>29</v>
      </c>
      <c r="E26" s="39" t="s">
        <v>30</v>
      </c>
      <c r="F26" s="39" t="s">
        <v>30</v>
      </c>
      <c r="G26" s="39" t="s">
        <v>30</v>
      </c>
      <c r="H26" s="39" t="s">
        <v>30</v>
      </c>
      <c r="I26" s="39" t="s">
        <v>30</v>
      </c>
      <c r="J26" s="39" t="s">
        <v>30</v>
      </c>
      <c r="K26" s="39" t="s">
        <v>30</v>
      </c>
    </row>
    <row r="27" ht="27.75" customHeight="1">
      <c r="A27" s="5"/>
      <c r="B27" s="5"/>
      <c r="C27" s="5"/>
      <c r="D27" s="34" t="s">
        <v>16</v>
      </c>
      <c r="E27" s="35">
        <v>0.753</v>
      </c>
      <c r="F27" s="35">
        <v>0.796</v>
      </c>
      <c r="G27" s="35">
        <v>0.792</v>
      </c>
      <c r="H27" s="35">
        <v>0.953</v>
      </c>
      <c r="I27" s="35">
        <v>15.0</v>
      </c>
      <c r="J27" s="35">
        <v>171.0</v>
      </c>
      <c r="K27" s="35">
        <v>884.0</v>
      </c>
    </row>
    <row r="28" ht="27.75" customHeight="1">
      <c r="A28" s="5"/>
      <c r="B28" s="5"/>
      <c r="C28" s="5"/>
      <c r="D28" s="34" t="s">
        <v>31</v>
      </c>
      <c r="E28" s="35">
        <v>0.753</v>
      </c>
      <c r="F28" s="35">
        <v>0.79</v>
      </c>
      <c r="G28" s="35">
        <v>0.757</v>
      </c>
      <c r="H28" s="35">
        <v>0.903</v>
      </c>
      <c r="I28" s="35">
        <v>12.0</v>
      </c>
      <c r="J28" s="35">
        <v>172.0</v>
      </c>
      <c r="K28" s="35">
        <v>884.0</v>
      </c>
    </row>
    <row r="29" ht="27.75" customHeight="1">
      <c r="A29" s="5"/>
      <c r="B29" s="5"/>
      <c r="C29" s="5"/>
      <c r="D29" s="34" t="s">
        <v>32</v>
      </c>
      <c r="E29" s="35">
        <v>0.753</v>
      </c>
      <c r="F29" s="35">
        <v>0.796</v>
      </c>
      <c r="G29" s="35">
        <v>0.765</v>
      </c>
      <c r="H29" s="35">
        <v>0.952</v>
      </c>
      <c r="I29" s="39">
        <v>14.0</v>
      </c>
      <c r="J29" s="35">
        <v>172.0</v>
      </c>
      <c r="K29" s="35">
        <v>884.0</v>
      </c>
    </row>
    <row r="30" ht="27.75" customHeight="1">
      <c r="A30" s="7"/>
      <c r="B30" s="7"/>
      <c r="C30" s="7"/>
      <c r="D30" s="34" t="s">
        <v>35</v>
      </c>
      <c r="E30" s="35">
        <v>0.74</v>
      </c>
      <c r="F30" s="35">
        <v>0.791</v>
      </c>
      <c r="G30" s="35">
        <v>0.49</v>
      </c>
      <c r="H30" s="35">
        <v>0.975</v>
      </c>
      <c r="I30" s="35">
        <v>130.0</v>
      </c>
      <c r="J30" s="35">
        <v>86.0</v>
      </c>
      <c r="K30" s="35">
        <v>906.0</v>
      </c>
    </row>
    <row r="31" ht="27.75" customHeight="1">
      <c r="A31" s="36"/>
      <c r="B31" s="36"/>
      <c r="C31" s="36"/>
      <c r="D31" s="37"/>
      <c r="E31" s="43"/>
      <c r="F31" s="43"/>
      <c r="G31" s="43"/>
      <c r="H31" s="43"/>
      <c r="I31" s="43"/>
      <c r="J31" s="43"/>
      <c r="K31" s="43"/>
    </row>
    <row r="32" ht="27.75" customHeight="1">
      <c r="A32" s="2" t="s">
        <v>11</v>
      </c>
      <c r="B32" s="2" t="s">
        <v>20</v>
      </c>
      <c r="C32" s="2" t="s">
        <v>13</v>
      </c>
      <c r="D32" s="34" t="s">
        <v>28</v>
      </c>
      <c r="E32" s="44">
        <v>0.754</v>
      </c>
      <c r="F32" s="44">
        <v>0.811</v>
      </c>
      <c r="G32" s="44">
        <v>0.754</v>
      </c>
      <c r="H32" s="44">
        <v>0.946</v>
      </c>
      <c r="I32" s="44">
        <v>128.0</v>
      </c>
      <c r="J32" s="44">
        <v>543.0</v>
      </c>
      <c r="K32" s="44">
        <v>2196.0</v>
      </c>
    </row>
    <row r="33" ht="27.75" customHeight="1">
      <c r="A33" s="5"/>
      <c r="B33" s="5"/>
      <c r="C33" s="5"/>
      <c r="D33" s="34" t="s">
        <v>29</v>
      </c>
      <c r="E33" s="39" t="s">
        <v>30</v>
      </c>
      <c r="F33" s="39" t="s">
        <v>30</v>
      </c>
      <c r="G33" s="39" t="s">
        <v>30</v>
      </c>
      <c r="H33" s="39" t="s">
        <v>30</v>
      </c>
      <c r="I33" s="39" t="s">
        <v>30</v>
      </c>
      <c r="J33" s="39" t="s">
        <v>30</v>
      </c>
      <c r="K33" s="39" t="s">
        <v>30</v>
      </c>
    </row>
    <row r="34" ht="27.75" customHeight="1">
      <c r="A34" s="5"/>
      <c r="B34" s="5"/>
      <c r="C34" s="5"/>
      <c r="D34" s="34" t="s">
        <v>16</v>
      </c>
      <c r="E34" s="44">
        <v>0.746</v>
      </c>
      <c r="F34" s="44">
        <v>0.81</v>
      </c>
      <c r="G34" s="45">
        <v>0.743</v>
      </c>
      <c r="H34" s="44">
        <v>0.935</v>
      </c>
      <c r="I34" s="44">
        <v>87.0</v>
      </c>
      <c r="J34" s="44">
        <v>659.0</v>
      </c>
      <c r="K34" s="44">
        <v>2212.0</v>
      </c>
    </row>
    <row r="35" ht="27.75" customHeight="1">
      <c r="A35" s="5"/>
      <c r="B35" s="5"/>
      <c r="C35" s="5"/>
      <c r="D35" s="34" t="s">
        <v>31</v>
      </c>
      <c r="E35" s="44">
        <v>0.746</v>
      </c>
      <c r="F35" s="44">
        <v>0.809</v>
      </c>
      <c r="G35" s="44">
        <v>0.71</v>
      </c>
      <c r="H35" s="44">
        <v>0.935</v>
      </c>
      <c r="I35" s="44">
        <v>81.0</v>
      </c>
      <c r="J35" s="44">
        <v>653.0</v>
      </c>
      <c r="K35" s="44">
        <v>2219.0</v>
      </c>
    </row>
    <row r="36" ht="27.75" customHeight="1">
      <c r="A36" s="5"/>
      <c r="B36" s="5"/>
      <c r="C36" s="5"/>
      <c r="D36" s="34" t="s">
        <v>32</v>
      </c>
      <c r="E36" s="44">
        <v>0.746</v>
      </c>
      <c r="F36" s="44">
        <v>0.81</v>
      </c>
      <c r="G36" s="44">
        <v>0.73</v>
      </c>
      <c r="H36" s="44">
        <v>0.934</v>
      </c>
      <c r="I36" s="44">
        <v>87.0</v>
      </c>
      <c r="J36" s="44">
        <v>665.0</v>
      </c>
      <c r="K36" s="44">
        <v>2209.0</v>
      </c>
    </row>
    <row r="37" ht="27.75" customHeight="1">
      <c r="A37" s="7"/>
      <c r="B37" s="7"/>
      <c r="C37" s="7"/>
      <c r="D37" s="34" t="s">
        <v>35</v>
      </c>
      <c r="E37" s="44">
        <v>0.73</v>
      </c>
      <c r="F37" s="44">
        <v>0.811</v>
      </c>
      <c r="G37" s="44">
        <v>0.481</v>
      </c>
      <c r="H37" s="44">
        <v>0.945</v>
      </c>
      <c r="I37" s="44">
        <v>325.0</v>
      </c>
      <c r="J37" s="44">
        <v>545.0</v>
      </c>
      <c r="K37" s="44">
        <v>2196.0</v>
      </c>
    </row>
    <row r="38" ht="27.75" customHeight="1">
      <c r="A38" s="36"/>
      <c r="B38" s="36"/>
      <c r="C38" s="36"/>
      <c r="D38" s="37"/>
      <c r="E38" s="46"/>
      <c r="F38" s="46"/>
      <c r="G38" s="46"/>
      <c r="H38" s="46"/>
      <c r="I38" s="46"/>
      <c r="J38" s="46"/>
      <c r="K38" s="46"/>
    </row>
    <row r="39" ht="27.75" customHeight="1">
      <c r="A39" s="2" t="s">
        <v>11</v>
      </c>
      <c r="B39" s="2" t="s">
        <v>21</v>
      </c>
      <c r="C39" s="2" t="s">
        <v>13</v>
      </c>
      <c r="D39" s="34" t="s">
        <v>28</v>
      </c>
      <c r="E39" s="44">
        <v>0.861</v>
      </c>
      <c r="F39" s="44">
        <v>0.901</v>
      </c>
      <c r="G39" s="44">
        <v>0.829</v>
      </c>
      <c r="H39" s="44">
        <v>0.96</v>
      </c>
      <c r="I39" s="44">
        <v>30.0</v>
      </c>
      <c r="J39" s="44">
        <v>311.0</v>
      </c>
      <c r="K39" s="44">
        <v>812.0</v>
      </c>
    </row>
    <row r="40" ht="27.75" customHeight="1">
      <c r="A40" s="5"/>
      <c r="B40" s="5"/>
      <c r="C40" s="5"/>
      <c r="D40" s="34" t="s">
        <v>29</v>
      </c>
      <c r="E40" s="44" t="s">
        <v>30</v>
      </c>
      <c r="F40" s="44" t="s">
        <v>30</v>
      </c>
      <c r="G40" s="44" t="s">
        <v>30</v>
      </c>
      <c r="H40" s="44" t="s">
        <v>30</v>
      </c>
      <c r="I40" s="44" t="s">
        <v>30</v>
      </c>
      <c r="J40" s="44" t="s">
        <v>30</v>
      </c>
      <c r="K40" s="44" t="s">
        <v>30</v>
      </c>
    </row>
    <row r="41" ht="27.75" customHeight="1">
      <c r="A41" s="5"/>
      <c r="B41" s="5"/>
      <c r="C41" s="5"/>
      <c r="D41" s="34" t="s">
        <v>16</v>
      </c>
      <c r="E41" s="44">
        <v>0.85</v>
      </c>
      <c r="F41" s="44">
        <v>0.904</v>
      </c>
      <c r="G41" s="44">
        <v>0.877</v>
      </c>
      <c r="H41" s="44">
        <v>0.953</v>
      </c>
      <c r="I41" s="44">
        <v>12.0</v>
      </c>
      <c r="J41" s="44">
        <v>27.0</v>
      </c>
      <c r="K41" s="44">
        <v>1474.0</v>
      </c>
    </row>
    <row r="42" ht="27.75" customHeight="1">
      <c r="A42" s="5"/>
      <c r="B42" s="5"/>
      <c r="C42" s="5"/>
      <c r="D42" s="34" t="s">
        <v>31</v>
      </c>
      <c r="E42" s="44">
        <v>0.85</v>
      </c>
      <c r="F42" s="44">
        <v>0.901</v>
      </c>
      <c r="G42" s="44">
        <v>0.86</v>
      </c>
      <c r="H42" s="44">
        <v>0.95</v>
      </c>
      <c r="I42" s="44">
        <v>13.0</v>
      </c>
      <c r="J42" s="44">
        <v>400.0</v>
      </c>
      <c r="K42" s="44">
        <v>822.0</v>
      </c>
    </row>
    <row r="43" ht="27.75" customHeight="1">
      <c r="A43" s="5"/>
      <c r="B43" s="5"/>
      <c r="C43" s="5"/>
      <c r="D43" s="34" t="s">
        <v>32</v>
      </c>
      <c r="E43" s="44">
        <v>0.85</v>
      </c>
      <c r="F43" s="44">
        <v>0.901</v>
      </c>
      <c r="G43" s="44">
        <v>0.86</v>
      </c>
      <c r="H43" s="44">
        <v>0.95</v>
      </c>
      <c r="I43" s="44">
        <v>14.0</v>
      </c>
      <c r="J43" s="44">
        <v>403.0</v>
      </c>
      <c r="K43" s="44">
        <v>822.0</v>
      </c>
    </row>
    <row r="44" ht="27.75" customHeight="1">
      <c r="A44" s="7"/>
      <c r="B44" s="7"/>
      <c r="C44" s="7"/>
      <c r="D44" s="34" t="s">
        <v>35</v>
      </c>
      <c r="E44" s="44">
        <v>0.84</v>
      </c>
      <c r="F44" s="44">
        <v>0.901</v>
      </c>
      <c r="G44" s="44" t="s">
        <v>41</v>
      </c>
      <c r="H44" s="44">
        <v>0.96</v>
      </c>
      <c r="I44" s="44">
        <v>156.0</v>
      </c>
      <c r="J44" s="44">
        <v>312.0</v>
      </c>
      <c r="K44" s="44">
        <v>823.0</v>
      </c>
    </row>
    <row r="45" ht="27.75" customHeight="1">
      <c r="A45" s="36"/>
      <c r="B45" s="36"/>
      <c r="C45" s="36"/>
      <c r="D45" s="37"/>
      <c r="E45" s="40"/>
      <c r="F45" s="40"/>
      <c r="G45" s="40"/>
      <c r="H45" s="40"/>
      <c r="I45" s="40"/>
      <c r="J45" s="40"/>
      <c r="K45" s="40"/>
    </row>
    <row r="46" ht="27.75" customHeight="1">
      <c r="A46" s="2" t="s">
        <v>11</v>
      </c>
      <c r="B46" s="2" t="s">
        <v>22</v>
      </c>
      <c r="C46" s="2" t="s">
        <v>13</v>
      </c>
      <c r="D46" s="34" t="s">
        <v>28</v>
      </c>
      <c r="E46" s="44">
        <v>0.702</v>
      </c>
      <c r="F46" s="44">
        <v>0.778</v>
      </c>
      <c r="G46" s="44">
        <v>0.755</v>
      </c>
      <c r="H46" s="44">
        <v>0.955</v>
      </c>
      <c r="I46" s="44">
        <v>319.0</v>
      </c>
      <c r="J46" s="44">
        <v>565.0</v>
      </c>
      <c r="K46" s="44">
        <v>2556.0</v>
      </c>
    </row>
    <row r="47" ht="27.75" customHeight="1">
      <c r="A47" s="5"/>
      <c r="B47" s="5"/>
      <c r="C47" s="5"/>
      <c r="D47" s="34" t="s">
        <v>29</v>
      </c>
      <c r="E47" s="44" t="s">
        <v>30</v>
      </c>
      <c r="F47" s="44" t="s">
        <v>30</v>
      </c>
      <c r="G47" s="44" t="s">
        <v>30</v>
      </c>
      <c r="H47" s="44" t="s">
        <v>30</v>
      </c>
      <c r="I47" s="44" t="s">
        <v>30</v>
      </c>
      <c r="J47" s="44" t="s">
        <v>30</v>
      </c>
      <c r="K47" s="44" t="s">
        <v>30</v>
      </c>
    </row>
    <row r="48" ht="27.75" customHeight="1">
      <c r="A48" s="5"/>
      <c r="B48" s="5"/>
      <c r="C48" s="5"/>
      <c r="D48" s="34" t="s">
        <v>16</v>
      </c>
      <c r="E48" s="44">
        <v>0.71</v>
      </c>
      <c r="F48" s="44">
        <v>0.759</v>
      </c>
      <c r="G48" s="44">
        <v>0.72</v>
      </c>
      <c r="H48" s="44">
        <v>0.945</v>
      </c>
      <c r="I48" s="44">
        <v>182.0</v>
      </c>
      <c r="J48" s="44">
        <v>509.0</v>
      </c>
      <c r="K48" s="44">
        <v>2778.0</v>
      </c>
    </row>
    <row r="49" ht="27.75" customHeight="1">
      <c r="A49" s="5"/>
      <c r="B49" s="5"/>
      <c r="C49" s="5"/>
      <c r="D49" s="34" t="s">
        <v>31</v>
      </c>
      <c r="E49" s="44">
        <v>0.708</v>
      </c>
      <c r="F49" s="44" t="s">
        <v>33</v>
      </c>
      <c r="G49" s="44">
        <v>0.52</v>
      </c>
      <c r="H49" s="44">
        <v>0.94</v>
      </c>
      <c r="I49" s="44">
        <v>140.0</v>
      </c>
      <c r="J49" s="44">
        <v>540.0</v>
      </c>
      <c r="K49" s="44">
        <v>2683.0</v>
      </c>
    </row>
    <row r="50" ht="27.75" customHeight="1">
      <c r="A50" s="5"/>
      <c r="B50" s="5"/>
      <c r="C50" s="5"/>
      <c r="D50" s="34" t="s">
        <v>32</v>
      </c>
      <c r="E50" s="47">
        <f t="shared" ref="E50:F50" si="1">AVERAGE(E43,E36,E29,E22,E14,E6)</f>
        <v>0.7181666667</v>
      </c>
      <c r="F50" s="47">
        <f t="shared" si="1"/>
        <v>0.7968</v>
      </c>
      <c r="G50" s="44">
        <v>0.52</v>
      </c>
      <c r="H50" s="47">
        <f>AVERAGE(H43,H36,H29,H22,H14,H6)</f>
        <v>0.9265</v>
      </c>
      <c r="I50" s="44">
        <v>132.0</v>
      </c>
      <c r="J50" s="44">
        <v>554.0</v>
      </c>
      <c r="K50" s="44">
        <v>2656.0</v>
      </c>
    </row>
    <row r="51" ht="27.75" customHeight="1">
      <c r="A51" s="7"/>
      <c r="B51" s="7"/>
      <c r="C51" s="7"/>
      <c r="D51" s="34" t="s">
        <v>35</v>
      </c>
      <c r="E51" s="48">
        <v>0.67</v>
      </c>
      <c r="F51" s="44">
        <v>0.778</v>
      </c>
      <c r="G51" s="44">
        <v>0.48</v>
      </c>
      <c r="H51" s="44">
        <v>0.94</v>
      </c>
      <c r="I51" s="44">
        <v>651.0</v>
      </c>
      <c r="J51" s="44">
        <v>574.0</v>
      </c>
      <c r="K51" s="44">
        <v>2561.0</v>
      </c>
    </row>
    <row r="52" ht="31.5" customHeight="1">
      <c r="D52" s="37"/>
      <c r="E52" s="49"/>
      <c r="F52" s="49"/>
      <c r="G52" s="49"/>
      <c r="H52" s="49"/>
      <c r="I52" s="49"/>
      <c r="J52" s="49"/>
      <c r="K52" s="49"/>
    </row>
    <row r="53" ht="31.5" customHeight="1">
      <c r="D53" s="37"/>
      <c r="E53" s="43" t="s">
        <v>4</v>
      </c>
      <c r="F53" s="43" t="s">
        <v>5</v>
      </c>
      <c r="G53" s="43" t="s">
        <v>6</v>
      </c>
      <c r="H53" s="43" t="s">
        <v>7</v>
      </c>
      <c r="I53" s="43" t="s">
        <v>8</v>
      </c>
      <c r="J53" s="43" t="s">
        <v>9</v>
      </c>
      <c r="K53" s="43" t="s">
        <v>10</v>
      </c>
    </row>
    <row r="54" ht="31.5" customHeight="1">
      <c r="D54" s="34" t="s">
        <v>42</v>
      </c>
      <c r="E54" s="50">
        <f t="shared" ref="E54:H54" si="2">AVERAGE(E2,E10,E18,E25,E32,E39,E46)</f>
        <v>0.7198571429</v>
      </c>
      <c r="F54" s="50">
        <f t="shared" si="2"/>
        <v>0.7925</v>
      </c>
      <c r="G54" s="50">
        <f t="shared" si="2"/>
        <v>0.7668333333</v>
      </c>
      <c r="H54" s="50">
        <f t="shared" si="2"/>
        <v>0.9401428571</v>
      </c>
      <c r="I54" s="51">
        <f t="shared" ref="I54:J54" si="3">SUM(I2,I10,I18,I25,I32,I39,I46)</f>
        <v>916</v>
      </c>
      <c r="J54" s="52">
        <f t="shared" si="3"/>
        <v>7692</v>
      </c>
      <c r="K54" s="52">
        <f>SUM(K46,K39,K32,K25,K18,K10,K2)</f>
        <v>24679</v>
      </c>
    </row>
    <row r="55" ht="33.0" customHeight="1">
      <c r="D55" s="34" t="s">
        <v>25</v>
      </c>
      <c r="E55" s="50">
        <f>AVERAGE(E4,E12,E20,E27,E34,E41,E48)</f>
        <v>0.7172857143</v>
      </c>
      <c r="F55" s="50">
        <f>AVERAGE(F48,F41,F34,F27,F20,F12,F4)</f>
        <v>0.7808571429</v>
      </c>
      <c r="G55" s="53">
        <f>AVERAGE(G4,G12,G20,G27,G34,G41,G51)</f>
        <v>0.7735714286</v>
      </c>
      <c r="H55" s="50">
        <f>AVERAGE(H51,H41,H34,H27,H20,H12,H4)</f>
        <v>0.9302857143</v>
      </c>
      <c r="I55" s="54">
        <f>SUM(I4,I12,I20,I27,I34,I41, I48)</f>
        <v>386</v>
      </c>
      <c r="J55" s="52">
        <f t="shared" ref="J55:K55" si="4">SUM(J4,J12,J20,J27,J34,J41,J51)</f>
        <v>7538</v>
      </c>
      <c r="K55" s="52">
        <f t="shared" si="4"/>
        <v>24872</v>
      </c>
    </row>
    <row r="56" ht="33.0" customHeight="1">
      <c r="D56" s="34" t="s">
        <v>43</v>
      </c>
      <c r="E56" s="50">
        <f t="shared" ref="E56:H56" si="5">AVERAGE(E49,E42,E35,E28,E21,E13,E5)</f>
        <v>0.7165714286</v>
      </c>
      <c r="F56" s="50">
        <f t="shared" si="5"/>
        <v>0.7826666667</v>
      </c>
      <c r="G56" s="50">
        <f t="shared" si="5"/>
        <v>0.761</v>
      </c>
      <c r="H56" s="50">
        <f t="shared" si="5"/>
        <v>0.9217142857</v>
      </c>
      <c r="I56" s="51">
        <f t="shared" ref="I56:K56" si="6">SUM(I49,I42,I35,I28,I21,I13,I5)</f>
        <v>346</v>
      </c>
      <c r="J56" s="51">
        <f t="shared" si="6"/>
        <v>8287</v>
      </c>
      <c r="K56" s="51">
        <f t="shared" si="6"/>
        <v>24838</v>
      </c>
    </row>
    <row r="57" ht="33.0" customHeight="1">
      <c r="D57" s="34" t="s">
        <v>44</v>
      </c>
      <c r="E57" s="50">
        <f t="shared" ref="E57:H57" si="7">AVERAGE(E50,E43,E36,E29,E22,E14,E6)</f>
        <v>0.7181666667</v>
      </c>
      <c r="F57" s="50">
        <f t="shared" si="7"/>
        <v>0.7968</v>
      </c>
      <c r="G57" s="50">
        <f t="shared" si="7"/>
        <v>0.7791666667</v>
      </c>
      <c r="H57" s="50">
        <f t="shared" si="7"/>
        <v>0.9265</v>
      </c>
      <c r="I57" s="51">
        <f t="shared" ref="I57:K57" si="8">SUM(I50,I43,I36,I29,I22,I14,I6)</f>
        <v>365</v>
      </c>
      <c r="J57" s="51">
        <f t="shared" si="8"/>
        <v>8333</v>
      </c>
      <c r="K57" s="51">
        <f t="shared" si="8"/>
        <v>24783</v>
      </c>
    </row>
    <row r="58" ht="33.0" customHeight="1">
      <c r="D58" s="34" t="s">
        <v>34</v>
      </c>
      <c r="E58" s="50"/>
      <c r="F58" s="50"/>
      <c r="G58" s="50"/>
      <c r="H58" s="50"/>
      <c r="I58" s="51"/>
      <c r="J58" s="51"/>
      <c r="K58" s="51"/>
    </row>
    <row r="59" ht="33.0" customHeight="1">
      <c r="D59" s="34" t="s">
        <v>45</v>
      </c>
      <c r="E59" s="50">
        <f t="shared" ref="E59:H59" si="9">AVERAGE(E51,E44,E37,E30,E23,E16,E8)</f>
        <v>0.6991428571</v>
      </c>
      <c r="F59" s="50">
        <f t="shared" si="9"/>
        <v>0.7815714286</v>
      </c>
      <c r="G59" s="50">
        <f t="shared" si="9"/>
        <v>0.5236666667</v>
      </c>
      <c r="H59" s="50">
        <f t="shared" si="9"/>
        <v>0.9364285714</v>
      </c>
      <c r="I59" s="51">
        <f t="shared" ref="I59:K59" si="10">SUM(I51,I44,I37,I30,I23,I16,I8)</f>
        <v>2219</v>
      </c>
      <c r="J59" s="51">
        <f t="shared" si="10"/>
        <v>7694</v>
      </c>
      <c r="K59" s="51">
        <f t="shared" si="10"/>
        <v>24703</v>
      </c>
    </row>
    <row r="62" ht="30.75" customHeight="1">
      <c r="A62" s="24" t="s">
        <v>0</v>
      </c>
      <c r="B62" s="24" t="s">
        <v>1</v>
      </c>
      <c r="C62" s="24" t="s">
        <v>2</v>
      </c>
      <c r="D62" s="24" t="s">
        <v>3</v>
      </c>
      <c r="E62" s="24" t="s">
        <v>4</v>
      </c>
      <c r="F62" s="24" t="s">
        <v>5</v>
      </c>
      <c r="G62" s="24" t="s">
        <v>6</v>
      </c>
      <c r="H62" s="24" t="s">
        <v>7</v>
      </c>
      <c r="I62" s="24" t="s">
        <v>8</v>
      </c>
      <c r="J62" s="24" t="s">
        <v>9</v>
      </c>
      <c r="K62" s="24" t="s">
        <v>10</v>
      </c>
    </row>
    <row r="63" ht="30.75" customHeight="1">
      <c r="A63" s="25" t="s">
        <v>11</v>
      </c>
      <c r="B63" s="25" t="s">
        <v>12</v>
      </c>
      <c r="C63" s="26" t="s">
        <v>26</v>
      </c>
      <c r="D63" s="27" t="s">
        <v>14</v>
      </c>
      <c r="E63" s="27"/>
      <c r="F63" s="27"/>
      <c r="G63" s="27"/>
      <c r="H63" s="27"/>
      <c r="I63" s="27"/>
      <c r="J63" s="27"/>
      <c r="K63" s="27"/>
    </row>
    <row r="64" ht="30.75" customHeight="1">
      <c r="A64" s="7"/>
      <c r="B64" s="7"/>
      <c r="C64" s="7"/>
      <c r="D64" s="27" t="s">
        <v>15</v>
      </c>
      <c r="E64" s="3">
        <v>0.674</v>
      </c>
      <c r="F64" s="3">
        <v>0.701</v>
      </c>
      <c r="G64" s="3">
        <v>0.8</v>
      </c>
      <c r="H64" s="3">
        <v>0.967</v>
      </c>
      <c r="I64" s="3">
        <v>48.0</v>
      </c>
      <c r="J64" s="3">
        <v>397.0</v>
      </c>
      <c r="K64" s="3">
        <v>5007.0</v>
      </c>
    </row>
    <row r="65" ht="30.0" customHeight="1">
      <c r="A65" s="25" t="s">
        <v>11</v>
      </c>
      <c r="B65" s="25" t="s">
        <v>17</v>
      </c>
      <c r="C65" s="26" t="s">
        <v>26</v>
      </c>
      <c r="D65" s="27" t="s">
        <v>14</v>
      </c>
      <c r="E65" s="27"/>
      <c r="F65" s="27"/>
      <c r="G65" s="27"/>
      <c r="H65" s="27"/>
      <c r="I65" s="27"/>
      <c r="J65" s="27"/>
      <c r="K65" s="27"/>
    </row>
    <row r="66" ht="30.0" customHeight="1">
      <c r="A66" s="7"/>
      <c r="B66" s="7"/>
      <c r="C66" s="7"/>
      <c r="D66" s="27" t="s">
        <v>15</v>
      </c>
      <c r="E66" s="28">
        <v>0.707</v>
      </c>
      <c r="F66" s="28">
        <v>0.824</v>
      </c>
      <c r="G66" s="28">
        <v>0.98</v>
      </c>
      <c r="H66" s="28">
        <v>0.876</v>
      </c>
      <c r="I66" s="29">
        <v>15.0</v>
      </c>
      <c r="J66" s="29">
        <v>6072.0</v>
      </c>
      <c r="K66" s="29">
        <v>9168.0</v>
      </c>
    </row>
    <row r="67" ht="32.25" customHeight="1">
      <c r="A67" s="25" t="s">
        <v>11</v>
      </c>
      <c r="B67" s="25" t="s">
        <v>18</v>
      </c>
      <c r="C67" s="26" t="s">
        <v>26</v>
      </c>
      <c r="D67" s="27" t="s">
        <v>14</v>
      </c>
      <c r="E67" s="27"/>
      <c r="F67" s="27"/>
      <c r="G67" s="27"/>
      <c r="H67" s="27"/>
      <c r="I67" s="27"/>
      <c r="J67" s="27"/>
      <c r="K67" s="27"/>
    </row>
    <row r="68" ht="30.0" customHeight="1">
      <c r="A68" s="7"/>
      <c r="B68" s="7"/>
      <c r="C68" s="7"/>
      <c r="D68" s="27" t="s">
        <v>15</v>
      </c>
      <c r="E68" s="28">
        <v>0.777</v>
      </c>
      <c r="F68" s="28">
        <v>0.864</v>
      </c>
      <c r="G68" s="28">
        <v>0.902</v>
      </c>
      <c r="H68" s="28">
        <v>0.914</v>
      </c>
      <c r="I68" s="30">
        <v>33.0</v>
      </c>
      <c r="J68" s="30">
        <v>457.0</v>
      </c>
      <c r="K68" s="30">
        <v>767.0</v>
      </c>
    </row>
    <row r="69" ht="30.75" customHeight="1">
      <c r="A69" s="25" t="s">
        <v>11</v>
      </c>
      <c r="B69" s="25" t="s">
        <v>19</v>
      </c>
      <c r="C69" s="26" t="s">
        <v>26</v>
      </c>
      <c r="D69" s="27" t="s">
        <v>14</v>
      </c>
      <c r="E69" s="27"/>
      <c r="F69" s="27"/>
      <c r="G69" s="27"/>
      <c r="H69" s="27"/>
      <c r="I69" s="27"/>
      <c r="J69" s="27"/>
      <c r="K69" s="27"/>
    </row>
    <row r="70" ht="30.0" customHeight="1">
      <c r="A70" s="7"/>
      <c r="B70" s="7"/>
      <c r="C70" s="7"/>
      <c r="D70" s="27" t="s">
        <v>15</v>
      </c>
      <c r="E70" s="28">
        <v>0.862</v>
      </c>
      <c r="F70" s="28">
        <v>0.901</v>
      </c>
      <c r="G70" s="28">
        <v>0.85</v>
      </c>
      <c r="H70" s="28">
        <v>0.961</v>
      </c>
      <c r="I70" s="30">
        <v>9.0</v>
      </c>
      <c r="J70" s="30">
        <v>170.0</v>
      </c>
      <c r="K70" s="30">
        <v>467.0</v>
      </c>
    </row>
    <row r="71" ht="32.25" customHeight="1">
      <c r="A71" s="25" t="s">
        <v>11</v>
      </c>
      <c r="B71" s="25" t="s">
        <v>20</v>
      </c>
      <c r="C71" s="26" t="s">
        <v>26</v>
      </c>
      <c r="D71" s="27" t="s">
        <v>14</v>
      </c>
      <c r="E71" s="27"/>
      <c r="F71" s="27"/>
      <c r="G71" s="27"/>
      <c r="H71" s="27"/>
      <c r="I71" s="27"/>
      <c r="J71" s="27"/>
      <c r="K71" s="27"/>
    </row>
    <row r="72" ht="29.25" customHeight="1">
      <c r="A72" s="7"/>
      <c r="B72" s="7"/>
      <c r="C72" s="7"/>
      <c r="D72" s="27" t="s">
        <v>15</v>
      </c>
      <c r="E72" s="28">
        <v>0.724</v>
      </c>
      <c r="F72" s="28">
        <v>0.762</v>
      </c>
      <c r="G72" s="28">
        <v>0.76</v>
      </c>
      <c r="H72" s="28">
        <v>0.957</v>
      </c>
      <c r="I72" s="30">
        <v>54.0</v>
      </c>
      <c r="J72" s="30">
        <v>436.0</v>
      </c>
      <c r="K72" s="30">
        <v>3039.0</v>
      </c>
    </row>
    <row r="73" ht="30.75" customHeight="1">
      <c r="A73" s="25" t="s">
        <v>11</v>
      </c>
      <c r="B73" s="25" t="s">
        <v>21</v>
      </c>
      <c r="C73" s="26" t="s">
        <v>26</v>
      </c>
      <c r="D73" s="27" t="s">
        <v>14</v>
      </c>
      <c r="E73" s="27"/>
      <c r="F73" s="27"/>
      <c r="G73" s="27"/>
      <c r="H73" s="27"/>
      <c r="I73" s="27"/>
      <c r="J73" s="27"/>
      <c r="K73" s="27"/>
    </row>
    <row r="74" ht="30.75" customHeight="1">
      <c r="A74" s="7"/>
      <c r="B74" s="7"/>
      <c r="C74" s="7"/>
      <c r="D74" s="27" t="s">
        <v>15</v>
      </c>
      <c r="E74" s="28">
        <v>0.861</v>
      </c>
      <c r="F74" s="28">
        <v>0.904</v>
      </c>
      <c r="G74" s="28">
        <v>0.883</v>
      </c>
      <c r="H74" s="28">
        <v>0.957</v>
      </c>
      <c r="I74" s="30">
        <v>9.0</v>
      </c>
      <c r="J74" s="30">
        <v>346.0</v>
      </c>
      <c r="K74" s="30">
        <v>812.0</v>
      </c>
    </row>
    <row r="75" ht="29.25" customHeight="1">
      <c r="A75" s="25" t="s">
        <v>11</v>
      </c>
      <c r="B75" s="25" t="s">
        <v>22</v>
      </c>
      <c r="C75" s="26" t="s">
        <v>26</v>
      </c>
      <c r="D75" s="27" t="s">
        <v>14</v>
      </c>
      <c r="E75" s="27"/>
      <c r="F75" s="27"/>
      <c r="G75" s="27"/>
      <c r="H75" s="27"/>
      <c r="I75" s="27"/>
      <c r="J75" s="27"/>
      <c r="K75" s="27"/>
    </row>
    <row r="76" ht="32.25" customHeight="1">
      <c r="A76" s="7"/>
      <c r="B76" s="7"/>
      <c r="C76" s="7"/>
      <c r="D76" s="27" t="s">
        <v>15</v>
      </c>
      <c r="E76" s="28">
        <v>0.717</v>
      </c>
      <c r="F76" s="28">
        <v>0.759</v>
      </c>
      <c r="G76" s="28">
        <v>0.842</v>
      </c>
      <c r="H76" s="28">
        <v>0.957</v>
      </c>
      <c r="I76" s="30">
        <v>93.0</v>
      </c>
      <c r="J76" s="30">
        <v>393.0</v>
      </c>
      <c r="K76" s="30">
        <v>2783.0</v>
      </c>
    </row>
    <row r="77">
      <c r="D77" s="31" t="s">
        <v>27</v>
      </c>
      <c r="E77" s="32">
        <f t="shared" ref="E77:H77" si="11">AVERAGE(E64:E76)</f>
        <v>0.7602857143</v>
      </c>
      <c r="F77" s="32">
        <f t="shared" si="11"/>
        <v>0.8164285714</v>
      </c>
      <c r="G77" s="32">
        <f t="shared" si="11"/>
        <v>0.8595714286</v>
      </c>
      <c r="H77" s="32">
        <f t="shared" si="11"/>
        <v>0.9412857143</v>
      </c>
      <c r="I77" s="33">
        <f>SUM(I64:I76)</f>
        <v>261</v>
      </c>
      <c r="J77" s="33">
        <f t="shared" ref="J77:K77" si="12">SUM(J63:J76)</f>
        <v>8271</v>
      </c>
      <c r="K77" s="33">
        <f t="shared" si="12"/>
        <v>22043</v>
      </c>
    </row>
  </sheetData>
  <mergeCells count="42">
    <mergeCell ref="B71:B72"/>
    <mergeCell ref="C71:C72"/>
    <mergeCell ref="A67:A68"/>
    <mergeCell ref="B67:B68"/>
    <mergeCell ref="C67:C68"/>
    <mergeCell ref="A69:A70"/>
    <mergeCell ref="B69:B70"/>
    <mergeCell ref="C69:C70"/>
    <mergeCell ref="A71:A72"/>
    <mergeCell ref="B18:B23"/>
    <mergeCell ref="C18:C23"/>
    <mergeCell ref="A2:A8"/>
    <mergeCell ref="B2:B8"/>
    <mergeCell ref="C2:C8"/>
    <mergeCell ref="A10:A16"/>
    <mergeCell ref="B10:B16"/>
    <mergeCell ref="C10:C16"/>
    <mergeCell ref="A18:A23"/>
    <mergeCell ref="B39:B44"/>
    <mergeCell ref="C39:C44"/>
    <mergeCell ref="A25:A30"/>
    <mergeCell ref="B25:B30"/>
    <mergeCell ref="C25:C30"/>
    <mergeCell ref="A32:A37"/>
    <mergeCell ref="B32:B37"/>
    <mergeCell ref="C32:C37"/>
    <mergeCell ref="A39:A44"/>
    <mergeCell ref="B65:B66"/>
    <mergeCell ref="C65:C66"/>
    <mergeCell ref="A46:A51"/>
    <mergeCell ref="B46:B51"/>
    <mergeCell ref="C46:C51"/>
    <mergeCell ref="A63:A64"/>
    <mergeCell ref="B63:B64"/>
    <mergeCell ref="C63:C64"/>
    <mergeCell ref="A65:A66"/>
    <mergeCell ref="A73:A74"/>
    <mergeCell ref="B73:B74"/>
    <mergeCell ref="C73:C74"/>
    <mergeCell ref="A75:A76"/>
    <mergeCell ref="B75:B76"/>
    <mergeCell ref="C75:C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2.25"/>
    <col customWidth="1" min="3" max="3" width="24.0"/>
  </cols>
  <sheetData>
    <row r="1">
      <c r="A1" s="1" t="s">
        <v>0</v>
      </c>
      <c r="B1" s="1" t="s">
        <v>1</v>
      </c>
      <c r="C1" s="1" t="s">
        <v>3</v>
      </c>
      <c r="D1" s="1" t="s">
        <v>46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11</v>
      </c>
      <c r="B2" s="2" t="s">
        <v>12</v>
      </c>
      <c r="C2" s="34" t="s">
        <v>47</v>
      </c>
      <c r="D2" s="35" t="s">
        <v>48</v>
      </c>
      <c r="E2" s="35">
        <v>0.651</v>
      </c>
      <c r="F2" s="35">
        <v>0.68</v>
      </c>
      <c r="G2" s="35">
        <v>0.7</v>
      </c>
      <c r="H2" s="35">
        <v>0.966</v>
      </c>
      <c r="I2" s="35">
        <v>114.0</v>
      </c>
      <c r="J2" s="35">
        <v>312.0</v>
      </c>
      <c r="K2" s="35">
        <v>4156.0</v>
      </c>
    </row>
    <row r="3" ht="27.75" customHeight="1">
      <c r="A3" s="5"/>
      <c r="B3" s="5"/>
      <c r="C3" s="34" t="s">
        <v>49</v>
      </c>
      <c r="D3" s="35" t="s">
        <v>48</v>
      </c>
      <c r="E3" s="35">
        <v>0.651</v>
      </c>
      <c r="F3" s="35" t="s">
        <v>50</v>
      </c>
      <c r="G3" s="35" t="s">
        <v>51</v>
      </c>
      <c r="H3" s="35" t="s">
        <v>52</v>
      </c>
      <c r="I3" s="35">
        <v>103.0</v>
      </c>
      <c r="J3" s="35">
        <v>304.0</v>
      </c>
      <c r="K3" s="35">
        <v>4171.0</v>
      </c>
    </row>
    <row r="4" ht="27.75" customHeight="1">
      <c r="A4" s="5"/>
      <c r="B4" s="5"/>
      <c r="C4" s="34" t="s">
        <v>53</v>
      </c>
      <c r="D4" s="35" t="s">
        <v>48</v>
      </c>
      <c r="E4" s="35">
        <v>0.644</v>
      </c>
      <c r="F4" s="35">
        <v>0.68</v>
      </c>
      <c r="G4" s="35">
        <v>0.61</v>
      </c>
      <c r="H4" s="35">
        <v>0.967</v>
      </c>
      <c r="I4" s="35">
        <v>195.0</v>
      </c>
      <c r="J4" s="35">
        <v>301.0</v>
      </c>
      <c r="K4" s="35">
        <v>4175.0</v>
      </c>
    </row>
    <row r="5" ht="27.75" customHeight="1">
      <c r="A5" s="5"/>
      <c r="B5" s="5"/>
      <c r="C5" s="34" t="s">
        <v>54</v>
      </c>
      <c r="D5" s="35" t="s">
        <v>48</v>
      </c>
      <c r="E5" s="35">
        <v>0.63</v>
      </c>
      <c r="F5" s="35">
        <v>0.68</v>
      </c>
      <c r="G5" s="35">
        <v>0.501</v>
      </c>
      <c r="H5" s="35">
        <v>0.965</v>
      </c>
      <c r="I5" s="35">
        <v>359.0</v>
      </c>
      <c r="J5" s="35">
        <v>305.0</v>
      </c>
      <c r="K5" s="35">
        <v>4165.0</v>
      </c>
    </row>
    <row r="6" ht="27.75" customHeight="1">
      <c r="A6" s="5"/>
      <c r="B6" s="5"/>
      <c r="C6" s="34" t="s">
        <v>55</v>
      </c>
      <c r="D6" s="35" t="s">
        <v>48</v>
      </c>
      <c r="E6" s="35"/>
      <c r="F6" s="35"/>
      <c r="G6" s="35"/>
      <c r="H6" s="35"/>
      <c r="I6" s="35"/>
      <c r="J6" s="35"/>
      <c r="K6" s="35"/>
    </row>
    <row r="7" ht="27.75" customHeight="1">
      <c r="A7" s="5"/>
      <c r="B7" s="5"/>
      <c r="C7" s="34" t="s">
        <v>34</v>
      </c>
      <c r="D7" s="35" t="s">
        <v>48</v>
      </c>
      <c r="E7" s="35"/>
      <c r="F7" s="35"/>
      <c r="G7" s="35"/>
      <c r="H7" s="35"/>
      <c r="I7" s="35"/>
      <c r="J7" s="35"/>
      <c r="K7" s="35"/>
    </row>
    <row r="8" ht="27.75" customHeight="1">
      <c r="A8" s="5"/>
      <c r="B8" s="5"/>
      <c r="C8" s="34" t="s">
        <v>55</v>
      </c>
      <c r="D8" s="35" t="s">
        <v>56</v>
      </c>
      <c r="E8" s="35">
        <v>0.647</v>
      </c>
      <c r="F8" s="35">
        <v>0.67</v>
      </c>
      <c r="G8" s="35">
        <v>0.72</v>
      </c>
      <c r="H8" s="35">
        <v>0.967</v>
      </c>
      <c r="I8" s="35">
        <v>37.0</v>
      </c>
      <c r="J8" s="35">
        <v>300.0</v>
      </c>
      <c r="K8" s="35">
        <v>4328.0</v>
      </c>
    </row>
    <row r="9" ht="27.75" customHeight="1">
      <c r="A9" s="7"/>
      <c r="B9" s="7"/>
      <c r="C9" s="34" t="s">
        <v>34</v>
      </c>
      <c r="D9" s="35" t="s">
        <v>56</v>
      </c>
      <c r="E9" s="35">
        <v>0.647</v>
      </c>
      <c r="F9" s="35">
        <v>0.67</v>
      </c>
      <c r="G9" s="35">
        <v>0.72</v>
      </c>
      <c r="H9" s="35">
        <v>0.963</v>
      </c>
      <c r="I9" s="35">
        <v>64.0</v>
      </c>
      <c r="J9" s="35">
        <v>339.0</v>
      </c>
      <c r="K9" s="35">
        <v>4236.0</v>
      </c>
    </row>
    <row r="10" ht="27.75" customHeight="1">
      <c r="A10" s="36"/>
      <c r="B10" s="36"/>
      <c r="C10" s="37"/>
      <c r="D10" s="38"/>
      <c r="E10" s="38"/>
      <c r="F10" s="38"/>
      <c r="G10" s="38"/>
      <c r="H10" s="38"/>
      <c r="I10" s="38"/>
      <c r="J10" s="38"/>
      <c r="K10" s="38"/>
    </row>
    <row r="11" ht="27.75" customHeight="1">
      <c r="A11" s="2" t="s">
        <v>11</v>
      </c>
      <c r="B11" s="2" t="s">
        <v>17</v>
      </c>
      <c r="C11" s="34" t="s">
        <v>47</v>
      </c>
      <c r="D11" s="35"/>
      <c r="E11" s="35">
        <v>0.608</v>
      </c>
      <c r="F11" s="35" t="s">
        <v>36</v>
      </c>
      <c r="G11" s="35" t="s">
        <v>37</v>
      </c>
      <c r="H11" s="35">
        <v>0.86</v>
      </c>
      <c r="I11" s="35">
        <v>168.0</v>
      </c>
      <c r="J11" s="35">
        <v>5487.0</v>
      </c>
      <c r="K11" s="35">
        <v>12914.0</v>
      </c>
    </row>
    <row r="12" ht="27.75" customHeight="1">
      <c r="A12" s="5"/>
      <c r="B12" s="5"/>
      <c r="C12" s="34" t="s">
        <v>49</v>
      </c>
      <c r="D12" s="35"/>
      <c r="E12" s="35">
        <v>0.608</v>
      </c>
      <c r="F12" s="35" t="s">
        <v>36</v>
      </c>
      <c r="G12" s="35" t="s">
        <v>39</v>
      </c>
      <c r="H12" s="35" t="s">
        <v>57</v>
      </c>
      <c r="I12" s="35">
        <v>157.0</v>
      </c>
      <c r="J12" s="35">
        <v>5483.0</v>
      </c>
      <c r="K12" s="35">
        <v>12915.0</v>
      </c>
      <c r="L12" s="36"/>
    </row>
    <row r="13" ht="27.75" customHeight="1">
      <c r="A13" s="5"/>
      <c r="B13" s="5"/>
      <c r="C13" s="34" t="s">
        <v>55</v>
      </c>
      <c r="D13" s="35"/>
      <c r="E13" s="35">
        <v>0.607</v>
      </c>
      <c r="F13" s="35">
        <v>0.73</v>
      </c>
      <c r="G13" s="35" t="s">
        <v>58</v>
      </c>
      <c r="H13" s="35">
        <v>0.85</v>
      </c>
      <c r="I13" s="35">
        <v>7.0</v>
      </c>
      <c r="J13" s="35">
        <v>5338.0</v>
      </c>
      <c r="K13" s="35">
        <v>12291.0</v>
      </c>
      <c r="L13" s="36"/>
    </row>
    <row r="14" ht="27.75" customHeight="1">
      <c r="A14" s="5"/>
      <c r="B14" s="5"/>
      <c r="C14" s="34" t="s">
        <v>34</v>
      </c>
      <c r="D14" s="35"/>
      <c r="E14" s="35">
        <v>0.607</v>
      </c>
      <c r="F14" s="35" t="s">
        <v>36</v>
      </c>
      <c r="G14" s="35" t="s">
        <v>39</v>
      </c>
      <c r="H14" s="35" t="s">
        <v>40</v>
      </c>
      <c r="I14" s="35">
        <v>8.0</v>
      </c>
      <c r="J14" s="35">
        <v>5704.0</v>
      </c>
      <c r="K14" s="35">
        <v>12895.0</v>
      </c>
      <c r="L14" s="36"/>
    </row>
    <row r="15" ht="27.75" customHeight="1">
      <c r="A15" s="5"/>
      <c r="B15" s="5"/>
      <c r="C15" s="34" t="s">
        <v>53</v>
      </c>
      <c r="D15" s="35"/>
      <c r="E15" s="35">
        <v>0.607</v>
      </c>
      <c r="F15" s="35">
        <v>0.72</v>
      </c>
      <c r="G15" s="35">
        <v>0.78</v>
      </c>
      <c r="H15" s="35">
        <v>0.86</v>
      </c>
      <c r="I15" s="35">
        <v>209.0</v>
      </c>
      <c r="J15" s="35">
        <v>5486.0</v>
      </c>
      <c r="K15" s="35">
        <v>12914.0</v>
      </c>
    </row>
    <row r="16" ht="27.75" customHeight="1">
      <c r="A16" s="7"/>
      <c r="B16" s="7"/>
      <c r="C16" s="34" t="s">
        <v>54</v>
      </c>
      <c r="D16" s="35"/>
      <c r="E16" s="35">
        <v>0.604</v>
      </c>
      <c r="F16" s="35">
        <v>0.72</v>
      </c>
      <c r="G16" s="35">
        <v>0.62</v>
      </c>
      <c r="H16" s="35">
        <v>0.86</v>
      </c>
      <c r="I16" s="35">
        <v>354.0</v>
      </c>
      <c r="J16" s="35">
        <v>5483.0</v>
      </c>
      <c r="K16" s="35">
        <v>12914.0</v>
      </c>
    </row>
    <row r="17" ht="27.75" customHeight="1">
      <c r="A17" s="36"/>
      <c r="B17" s="36"/>
      <c r="C17" s="37"/>
      <c r="D17" s="38"/>
      <c r="E17" s="38"/>
      <c r="F17" s="38"/>
      <c r="G17" s="38"/>
      <c r="H17" s="38"/>
      <c r="I17" s="38"/>
      <c r="J17" s="38"/>
      <c r="K17" s="38"/>
    </row>
    <row r="18" ht="27.75" customHeight="1">
      <c r="A18" s="2" t="s">
        <v>11</v>
      </c>
      <c r="B18" s="2" t="s">
        <v>18</v>
      </c>
      <c r="C18" s="34" t="s">
        <v>47</v>
      </c>
      <c r="D18" s="39"/>
      <c r="E18" s="39">
        <v>0.705</v>
      </c>
      <c r="F18" s="39">
        <v>0.794</v>
      </c>
      <c r="G18" s="39">
        <v>0.826</v>
      </c>
      <c r="H18" s="39">
        <v>0.918</v>
      </c>
      <c r="I18" s="39">
        <v>100.0</v>
      </c>
      <c r="J18" s="39">
        <v>390.0</v>
      </c>
      <c r="K18" s="39">
        <v>1139.0</v>
      </c>
    </row>
    <row r="19" ht="27.75" customHeight="1">
      <c r="A19" s="5"/>
      <c r="B19" s="5"/>
      <c r="C19" s="34" t="s">
        <v>49</v>
      </c>
      <c r="D19" s="39"/>
      <c r="E19" s="39">
        <v>0.708</v>
      </c>
      <c r="F19" s="39" t="s">
        <v>59</v>
      </c>
      <c r="G19" s="39" t="s">
        <v>40</v>
      </c>
      <c r="H19" s="39">
        <v>0.919</v>
      </c>
      <c r="I19" s="39">
        <v>83.0</v>
      </c>
      <c r="J19" s="39">
        <v>387.0</v>
      </c>
      <c r="K19" s="39">
        <v>1141.0</v>
      </c>
    </row>
    <row r="20" ht="27.75" customHeight="1">
      <c r="A20" s="5"/>
      <c r="B20" s="5"/>
      <c r="C20" s="34" t="s">
        <v>55</v>
      </c>
      <c r="D20" s="39"/>
      <c r="E20" s="39">
        <v>0.704</v>
      </c>
      <c r="F20" s="39">
        <v>0.797</v>
      </c>
      <c r="G20" s="39">
        <v>0.901</v>
      </c>
      <c r="H20" s="39">
        <v>0.904</v>
      </c>
      <c r="I20" s="39">
        <v>46.0</v>
      </c>
      <c r="J20" s="39">
        <v>469.0</v>
      </c>
      <c r="K20" s="39">
        <v>1122.0</v>
      </c>
    </row>
    <row r="21" ht="27.75" customHeight="1">
      <c r="A21" s="5"/>
      <c r="B21" s="5"/>
      <c r="C21" s="34" t="s">
        <v>34</v>
      </c>
      <c r="D21" s="39"/>
      <c r="E21" s="39">
        <v>0.709</v>
      </c>
      <c r="F21" s="44">
        <v>0.796</v>
      </c>
      <c r="G21" s="39" t="s">
        <v>60</v>
      </c>
      <c r="H21" s="39">
        <v>0.905</v>
      </c>
      <c r="I21" s="39">
        <v>22.0</v>
      </c>
      <c r="J21" s="39">
        <v>460.0</v>
      </c>
      <c r="K21" s="39">
        <v>1126.0</v>
      </c>
    </row>
    <row r="22" ht="27.75" customHeight="1">
      <c r="A22" s="5"/>
      <c r="B22" s="5"/>
      <c r="C22" s="34" t="s">
        <v>53</v>
      </c>
      <c r="D22" s="39"/>
      <c r="E22" s="39">
        <v>0.69</v>
      </c>
      <c r="F22" s="39">
        <v>0.794</v>
      </c>
      <c r="G22" s="39">
        <v>0.69</v>
      </c>
      <c r="H22" s="39" t="s">
        <v>61</v>
      </c>
      <c r="I22" s="39">
        <v>164.0</v>
      </c>
      <c r="J22" s="39">
        <v>384.0</v>
      </c>
      <c r="K22" s="39">
        <v>1140.0</v>
      </c>
    </row>
    <row r="23" ht="27.75" customHeight="1">
      <c r="A23" s="7"/>
      <c r="B23" s="7"/>
      <c r="C23" s="34" t="s">
        <v>54</v>
      </c>
      <c r="D23" s="39"/>
      <c r="E23" s="39">
        <v>0.68</v>
      </c>
      <c r="F23" s="39">
        <v>0.79</v>
      </c>
      <c r="G23" s="39">
        <v>0.57</v>
      </c>
      <c r="H23" s="39">
        <v>0.91</v>
      </c>
      <c r="I23" s="39">
        <v>244.0</v>
      </c>
      <c r="J23" s="39">
        <v>389.0</v>
      </c>
      <c r="K23" s="39">
        <v>1138.0</v>
      </c>
    </row>
    <row r="24" ht="27.75" customHeight="1">
      <c r="A24" s="36"/>
      <c r="B24" s="36"/>
      <c r="C24" s="37"/>
      <c r="D24" s="41"/>
      <c r="E24" s="41"/>
      <c r="F24" s="41"/>
      <c r="G24" s="41"/>
      <c r="H24" s="41"/>
      <c r="I24" s="41"/>
      <c r="J24" s="41"/>
      <c r="K24" s="41"/>
    </row>
    <row r="25" ht="27.75" customHeight="1">
      <c r="A25" s="2" t="s">
        <v>11</v>
      </c>
      <c r="B25" s="2" t="s">
        <v>19</v>
      </c>
      <c r="C25" s="34" t="s">
        <v>47</v>
      </c>
      <c r="D25" s="35"/>
      <c r="E25" s="35">
        <v>0.758</v>
      </c>
      <c r="F25" s="35">
        <v>0.791</v>
      </c>
      <c r="G25" s="35">
        <v>0.737</v>
      </c>
      <c r="H25" s="42">
        <v>0.976</v>
      </c>
      <c r="I25" s="35">
        <v>57.0</v>
      </c>
      <c r="J25" s="35">
        <v>84.0</v>
      </c>
      <c r="K25" s="35">
        <v>906.0</v>
      </c>
    </row>
    <row r="26" ht="27.75" customHeight="1">
      <c r="A26" s="5"/>
      <c r="B26" s="5"/>
      <c r="C26" s="34" t="s">
        <v>49</v>
      </c>
      <c r="D26" s="35"/>
      <c r="E26" s="35">
        <v>0.758</v>
      </c>
      <c r="F26" s="35">
        <v>0.791</v>
      </c>
      <c r="G26" s="35">
        <v>0.731</v>
      </c>
      <c r="H26" s="42">
        <v>0.976</v>
      </c>
      <c r="I26" s="35">
        <v>56.0</v>
      </c>
      <c r="J26" s="35">
        <v>84.0</v>
      </c>
      <c r="K26" s="35">
        <v>906.0</v>
      </c>
    </row>
    <row r="27" ht="27.75" customHeight="1">
      <c r="A27" s="5"/>
      <c r="B27" s="5"/>
      <c r="C27" s="34" t="s">
        <v>55</v>
      </c>
      <c r="D27" s="35"/>
      <c r="E27" s="35">
        <v>0.753</v>
      </c>
      <c r="F27" s="35">
        <v>0.796</v>
      </c>
      <c r="G27" s="35">
        <v>0.792</v>
      </c>
      <c r="H27" s="35">
        <v>0.953</v>
      </c>
      <c r="I27" s="35">
        <v>15.0</v>
      </c>
      <c r="J27" s="35">
        <v>171.0</v>
      </c>
      <c r="K27" s="35">
        <v>884.0</v>
      </c>
    </row>
    <row r="28" ht="27.75" customHeight="1">
      <c r="A28" s="5"/>
      <c r="B28" s="5"/>
      <c r="C28" s="34" t="s">
        <v>34</v>
      </c>
      <c r="D28" s="35"/>
      <c r="E28" s="35">
        <v>0.752</v>
      </c>
      <c r="F28" s="35">
        <v>0.796</v>
      </c>
      <c r="G28" s="35">
        <v>0.73</v>
      </c>
      <c r="H28" s="35" t="s">
        <v>62</v>
      </c>
      <c r="I28" s="39">
        <v>16.0</v>
      </c>
      <c r="J28" s="35">
        <v>173.0</v>
      </c>
      <c r="K28" s="35">
        <v>884.0</v>
      </c>
    </row>
    <row r="29" ht="27.75" customHeight="1">
      <c r="A29" s="5"/>
      <c r="B29" s="5"/>
      <c r="C29" s="34" t="s">
        <v>53</v>
      </c>
      <c r="D29" s="35"/>
      <c r="E29" s="35">
        <v>0.75</v>
      </c>
      <c r="F29" s="35">
        <v>0.791</v>
      </c>
      <c r="G29" s="35">
        <v>0.69</v>
      </c>
      <c r="H29" s="35">
        <v>0.97</v>
      </c>
      <c r="I29" s="35">
        <v>79.0</v>
      </c>
      <c r="J29" s="35">
        <v>84.0</v>
      </c>
      <c r="K29" s="35">
        <v>906.0</v>
      </c>
    </row>
    <row r="30" ht="27.75" customHeight="1">
      <c r="A30" s="7"/>
      <c r="B30" s="7"/>
      <c r="C30" s="34" t="s">
        <v>54</v>
      </c>
      <c r="D30" s="35"/>
      <c r="E30" s="35">
        <v>0.74</v>
      </c>
      <c r="F30" s="35">
        <v>0.791</v>
      </c>
      <c r="G30" s="35">
        <v>0.49</v>
      </c>
      <c r="H30" s="35">
        <v>0.975</v>
      </c>
      <c r="I30" s="35">
        <v>130.0</v>
      </c>
      <c r="J30" s="35">
        <v>86.0</v>
      </c>
      <c r="K30" s="35">
        <v>906.0</v>
      </c>
    </row>
    <row r="31" ht="27.75" customHeight="1">
      <c r="A31" s="36"/>
      <c r="B31" s="36"/>
      <c r="C31" s="37"/>
      <c r="D31" s="55"/>
      <c r="E31" s="43"/>
      <c r="F31" s="43"/>
      <c r="G31" s="43"/>
      <c r="H31" s="43"/>
      <c r="I31" s="43"/>
      <c r="J31" s="43"/>
      <c r="K31" s="43"/>
    </row>
    <row r="32" ht="27.75" customHeight="1">
      <c r="A32" s="2" t="s">
        <v>11</v>
      </c>
      <c r="B32" s="2" t="s">
        <v>20</v>
      </c>
      <c r="C32" s="34" t="s">
        <v>47</v>
      </c>
      <c r="D32" s="44"/>
      <c r="E32" s="44">
        <v>0.754</v>
      </c>
      <c r="F32" s="44">
        <v>0.811</v>
      </c>
      <c r="G32" s="44">
        <v>0.754</v>
      </c>
      <c r="H32" s="44">
        <v>0.946</v>
      </c>
      <c r="I32" s="44">
        <v>128.0</v>
      </c>
      <c r="J32" s="44">
        <v>543.0</v>
      </c>
      <c r="K32" s="44">
        <v>2196.0</v>
      </c>
    </row>
    <row r="33" ht="27.75" customHeight="1">
      <c r="A33" s="5"/>
      <c r="B33" s="5"/>
      <c r="C33" s="34" t="s">
        <v>49</v>
      </c>
      <c r="D33" s="44"/>
      <c r="E33" s="44">
        <v>0.754</v>
      </c>
      <c r="F33" s="44">
        <v>0.81</v>
      </c>
      <c r="G33" s="45">
        <v>0.76</v>
      </c>
      <c r="H33" s="44">
        <v>0.946</v>
      </c>
      <c r="I33" s="44">
        <v>116.0</v>
      </c>
      <c r="J33" s="44">
        <v>539.0</v>
      </c>
      <c r="K33" s="44">
        <v>11636.0</v>
      </c>
    </row>
    <row r="34" ht="27.75" customHeight="1">
      <c r="A34" s="5"/>
      <c r="B34" s="5"/>
      <c r="C34" s="34" t="s">
        <v>55</v>
      </c>
      <c r="D34" s="44"/>
      <c r="E34" s="44">
        <v>0.746</v>
      </c>
      <c r="F34" s="44">
        <v>0.81</v>
      </c>
      <c r="G34" s="45">
        <v>0.743</v>
      </c>
      <c r="H34" s="44">
        <v>0.935</v>
      </c>
      <c r="I34" s="44">
        <v>87.0</v>
      </c>
      <c r="J34" s="44">
        <v>659.0</v>
      </c>
      <c r="K34" s="44">
        <v>2212.0</v>
      </c>
    </row>
    <row r="35" ht="27.75" customHeight="1">
      <c r="A35" s="5"/>
      <c r="B35" s="5"/>
      <c r="C35" s="34" t="s">
        <v>34</v>
      </c>
      <c r="D35" s="44"/>
      <c r="E35" s="44">
        <v>0.746</v>
      </c>
      <c r="F35" s="44">
        <v>0.81</v>
      </c>
      <c r="G35" s="44">
        <v>0.71</v>
      </c>
      <c r="H35" s="44">
        <v>0.935</v>
      </c>
      <c r="I35" s="44">
        <v>88.0</v>
      </c>
      <c r="J35" s="44">
        <v>656.0</v>
      </c>
      <c r="K35" s="44">
        <v>2122.0</v>
      </c>
    </row>
    <row r="36" ht="27.75" customHeight="1">
      <c r="A36" s="5"/>
      <c r="B36" s="5"/>
      <c r="C36" s="34" t="s">
        <v>53</v>
      </c>
      <c r="D36" s="44"/>
      <c r="E36" s="44">
        <v>0.749</v>
      </c>
      <c r="F36" s="44">
        <v>0.81</v>
      </c>
      <c r="G36" s="44">
        <v>0.64</v>
      </c>
      <c r="H36" s="44">
        <v>0.946</v>
      </c>
      <c r="I36" s="44">
        <v>181.0</v>
      </c>
      <c r="J36" s="44">
        <v>539.0</v>
      </c>
      <c r="K36" s="44">
        <v>2202.0</v>
      </c>
    </row>
    <row r="37" ht="27.75" customHeight="1">
      <c r="A37" s="7"/>
      <c r="B37" s="7"/>
      <c r="C37" s="34" t="s">
        <v>54</v>
      </c>
      <c r="D37" s="44"/>
      <c r="E37" s="44">
        <v>0.73</v>
      </c>
      <c r="F37" s="44">
        <v>0.811</v>
      </c>
      <c r="G37" s="44">
        <v>0.481</v>
      </c>
      <c r="H37" s="44">
        <v>0.945</v>
      </c>
      <c r="I37" s="44">
        <v>325.0</v>
      </c>
      <c r="J37" s="44">
        <v>545.0</v>
      </c>
      <c r="K37" s="44">
        <v>2196.0</v>
      </c>
    </row>
    <row r="38" ht="27.75" customHeight="1">
      <c r="A38" s="36"/>
      <c r="B38" s="36"/>
      <c r="C38" s="37"/>
      <c r="D38" s="46"/>
      <c r="E38" s="46"/>
      <c r="F38" s="46"/>
      <c r="G38" s="46"/>
      <c r="H38" s="46"/>
      <c r="I38" s="46"/>
      <c r="J38" s="46"/>
      <c r="K38" s="46"/>
    </row>
    <row r="39" ht="27.75" customHeight="1">
      <c r="A39" s="2" t="s">
        <v>11</v>
      </c>
      <c r="B39" s="2" t="s">
        <v>21</v>
      </c>
      <c r="C39" s="34" t="s">
        <v>47</v>
      </c>
      <c r="D39" s="44"/>
      <c r="E39" s="44">
        <v>0.861</v>
      </c>
      <c r="F39" s="44">
        <v>0.901</v>
      </c>
      <c r="G39" s="44">
        <v>0.829</v>
      </c>
      <c r="H39" s="44">
        <v>0.96</v>
      </c>
      <c r="I39" s="44">
        <v>30.0</v>
      </c>
      <c r="J39" s="44">
        <v>311.0</v>
      </c>
      <c r="K39" s="44">
        <v>812.0</v>
      </c>
    </row>
    <row r="40" ht="27.75" customHeight="1">
      <c r="A40" s="5"/>
      <c r="B40" s="5"/>
      <c r="C40" s="34" t="s">
        <v>49</v>
      </c>
      <c r="D40" s="44"/>
      <c r="E40" s="44">
        <v>0.861</v>
      </c>
      <c r="F40" s="44">
        <v>0.901</v>
      </c>
      <c r="G40" s="44">
        <v>0.85</v>
      </c>
      <c r="H40" s="44">
        <v>0.96</v>
      </c>
      <c r="I40" s="44">
        <v>27.0</v>
      </c>
      <c r="J40" s="44">
        <v>311.0</v>
      </c>
      <c r="K40" s="44">
        <v>824.0</v>
      </c>
    </row>
    <row r="41" ht="27.75" customHeight="1">
      <c r="A41" s="5"/>
      <c r="B41" s="5"/>
      <c r="C41" s="34" t="s">
        <v>55</v>
      </c>
      <c r="D41" s="44"/>
      <c r="E41" s="44">
        <v>0.85</v>
      </c>
      <c r="F41" s="44">
        <v>0.904</v>
      </c>
      <c r="G41" s="44">
        <v>0.877</v>
      </c>
      <c r="H41" s="44">
        <v>0.953</v>
      </c>
      <c r="I41" s="44">
        <v>12.0</v>
      </c>
      <c r="J41" s="44">
        <v>27.0</v>
      </c>
      <c r="K41" s="44">
        <v>1474.0</v>
      </c>
    </row>
    <row r="42" ht="27.75" customHeight="1">
      <c r="A42" s="5"/>
      <c r="B42" s="5"/>
      <c r="C42" s="34" t="s">
        <v>34</v>
      </c>
      <c r="D42" s="44"/>
      <c r="E42" s="44">
        <v>0.85</v>
      </c>
      <c r="F42" s="44">
        <v>0.901</v>
      </c>
      <c r="G42" s="44" t="s">
        <v>37</v>
      </c>
      <c r="H42" s="44" t="s">
        <v>63</v>
      </c>
      <c r="I42" s="44">
        <v>15.0</v>
      </c>
      <c r="J42" s="44">
        <v>401.0</v>
      </c>
      <c r="K42" s="44">
        <v>426.0</v>
      </c>
    </row>
    <row r="43" ht="27.75" customHeight="1">
      <c r="A43" s="5"/>
      <c r="B43" s="5"/>
      <c r="C43" s="34" t="s">
        <v>53</v>
      </c>
      <c r="D43" s="44"/>
      <c r="E43" s="44">
        <v>0.85</v>
      </c>
      <c r="F43" s="44">
        <v>0.901</v>
      </c>
      <c r="G43" s="44">
        <v>0.75</v>
      </c>
      <c r="H43" s="44">
        <v>0.96</v>
      </c>
      <c r="I43" s="44">
        <v>44.0</v>
      </c>
      <c r="J43" s="44">
        <v>313.0</v>
      </c>
      <c r="K43" s="44">
        <v>824.0</v>
      </c>
    </row>
    <row r="44" ht="27.75" customHeight="1">
      <c r="A44" s="7"/>
      <c r="B44" s="7"/>
      <c r="C44" s="34" t="s">
        <v>54</v>
      </c>
      <c r="D44" s="44"/>
      <c r="E44" s="44">
        <v>0.84</v>
      </c>
      <c r="F44" s="44">
        <v>0.901</v>
      </c>
      <c r="G44" s="44" t="s">
        <v>41</v>
      </c>
      <c r="H44" s="44">
        <v>0.96</v>
      </c>
      <c r="I44" s="44">
        <v>156.0</v>
      </c>
      <c r="J44" s="44">
        <v>312.0</v>
      </c>
      <c r="K44" s="44">
        <v>823.0</v>
      </c>
    </row>
    <row r="45" ht="27.75" customHeight="1">
      <c r="A45" s="36"/>
      <c r="B45" s="36"/>
      <c r="C45" s="37"/>
      <c r="D45" s="40"/>
      <c r="E45" s="40"/>
      <c r="F45" s="40"/>
      <c r="G45" s="40"/>
      <c r="H45" s="40"/>
      <c r="I45" s="40"/>
      <c r="J45" s="40"/>
      <c r="K45" s="40"/>
    </row>
    <row r="46" ht="27.75" customHeight="1">
      <c r="A46" s="2" t="s">
        <v>11</v>
      </c>
      <c r="B46" s="2" t="s">
        <v>22</v>
      </c>
      <c r="C46" s="34" t="s">
        <v>47</v>
      </c>
      <c r="D46" s="44"/>
      <c r="E46" s="44">
        <v>0.702</v>
      </c>
      <c r="F46" s="44">
        <v>0.778</v>
      </c>
      <c r="G46" s="44">
        <v>0.755</v>
      </c>
      <c r="H46" s="44">
        <v>0.955</v>
      </c>
      <c r="I46" s="44">
        <v>319.0</v>
      </c>
      <c r="J46" s="44">
        <v>565.0</v>
      </c>
      <c r="K46" s="44">
        <v>2556.0</v>
      </c>
    </row>
    <row r="47" ht="27.75" customHeight="1">
      <c r="A47" s="5"/>
      <c r="B47" s="5"/>
      <c r="C47" s="34" t="s">
        <v>49</v>
      </c>
      <c r="D47" s="44"/>
      <c r="E47" s="44">
        <v>0.703</v>
      </c>
      <c r="F47" s="44">
        <v>0.776</v>
      </c>
      <c r="G47" s="44">
        <v>0.785</v>
      </c>
      <c r="H47" s="44">
        <v>0.944</v>
      </c>
      <c r="I47" s="44">
        <v>303.0</v>
      </c>
      <c r="J47" s="44">
        <v>532.0</v>
      </c>
      <c r="K47" s="44">
        <v>2558.0</v>
      </c>
    </row>
    <row r="48" ht="27.75" customHeight="1">
      <c r="A48" s="5"/>
      <c r="B48" s="5"/>
      <c r="C48" s="34" t="s">
        <v>55</v>
      </c>
      <c r="D48" s="44"/>
      <c r="E48" s="44">
        <v>0.71</v>
      </c>
      <c r="F48" s="44">
        <v>0.759</v>
      </c>
      <c r="G48" s="44">
        <v>0.72</v>
      </c>
      <c r="H48" s="44">
        <v>0.945</v>
      </c>
      <c r="I48" s="44">
        <v>182.0</v>
      </c>
      <c r="J48" s="44">
        <v>509.0</v>
      </c>
      <c r="K48" s="44">
        <v>2778.0</v>
      </c>
    </row>
    <row r="49" ht="27.75" customHeight="1">
      <c r="A49" s="5"/>
      <c r="B49" s="5"/>
      <c r="C49" s="34" t="s">
        <v>34</v>
      </c>
      <c r="D49" s="44"/>
      <c r="E49" s="56">
        <v>0.701</v>
      </c>
      <c r="F49" s="44">
        <v>0.768</v>
      </c>
      <c r="G49" s="44">
        <v>0.6</v>
      </c>
      <c r="H49" s="44">
        <v>0.94</v>
      </c>
      <c r="I49" s="44">
        <v>176.0</v>
      </c>
      <c r="J49" s="44">
        <v>529.0</v>
      </c>
      <c r="K49" s="44">
        <v>2676.0</v>
      </c>
    </row>
    <row r="50" ht="27.75" customHeight="1">
      <c r="A50" s="5"/>
      <c r="B50" s="5"/>
      <c r="C50" s="34" t="s">
        <v>53</v>
      </c>
      <c r="D50" s="48"/>
      <c r="E50" s="48">
        <v>0.69</v>
      </c>
      <c r="F50" s="44">
        <v>0.776</v>
      </c>
      <c r="G50" s="44">
        <v>0.69</v>
      </c>
      <c r="H50" s="44">
        <v>0.94</v>
      </c>
      <c r="I50" s="44">
        <v>414.0</v>
      </c>
      <c r="J50" s="44">
        <v>541.0</v>
      </c>
      <c r="K50" s="44">
        <v>2584.0</v>
      </c>
    </row>
    <row r="51" ht="27.75" customHeight="1">
      <c r="A51" s="7"/>
      <c r="B51" s="7"/>
      <c r="C51" s="34" t="s">
        <v>54</v>
      </c>
      <c r="D51" s="48"/>
      <c r="E51" s="48">
        <v>0.67</v>
      </c>
      <c r="F51" s="44">
        <v>0.778</v>
      </c>
      <c r="G51" s="44">
        <v>0.48</v>
      </c>
      <c r="H51" s="44">
        <v>0.94</v>
      </c>
      <c r="I51" s="44">
        <v>651.0</v>
      </c>
      <c r="J51" s="44">
        <v>574.0</v>
      </c>
      <c r="K51" s="44">
        <v>2561.0</v>
      </c>
    </row>
    <row r="52" ht="31.5" customHeight="1">
      <c r="C52" s="37"/>
      <c r="D52" s="46"/>
      <c r="E52" s="49"/>
      <c r="F52" s="49"/>
      <c r="G52" s="49"/>
      <c r="H52" s="49"/>
      <c r="I52" s="49"/>
      <c r="J52" s="49"/>
      <c r="K52" s="49"/>
    </row>
    <row r="53" ht="31.5" customHeight="1">
      <c r="C53" s="37"/>
      <c r="D53" s="55"/>
      <c r="E53" s="43" t="s">
        <v>4</v>
      </c>
      <c r="F53" s="43" t="s">
        <v>5</v>
      </c>
      <c r="G53" s="43" t="s">
        <v>6</v>
      </c>
      <c r="H53" s="43" t="s">
        <v>7</v>
      </c>
      <c r="I53" s="43" t="s">
        <v>8</v>
      </c>
      <c r="J53" s="43" t="s">
        <v>9</v>
      </c>
      <c r="K53" s="43" t="s">
        <v>10</v>
      </c>
      <c r="L53" s="43" t="s">
        <v>64</v>
      </c>
      <c r="M53" s="43" t="s">
        <v>65</v>
      </c>
    </row>
    <row r="54" ht="31.5" customHeight="1">
      <c r="C54" s="34" t="s">
        <v>47</v>
      </c>
      <c r="D54" s="57"/>
      <c r="E54" s="57">
        <f t="shared" ref="E54:H54" si="1">AVERAGE(E2,E11,E18,E25,E32,E39,E46)</f>
        <v>0.7198571429</v>
      </c>
      <c r="F54" s="57">
        <f t="shared" si="1"/>
        <v>0.7925</v>
      </c>
      <c r="G54" s="57">
        <f t="shared" si="1"/>
        <v>0.7668333333</v>
      </c>
      <c r="H54" s="57">
        <f t="shared" si="1"/>
        <v>0.9401428571</v>
      </c>
      <c r="I54" s="58">
        <f t="shared" ref="I54:J54" si="2">SUM(I2,I11,I18,I25,I32,I39,I46)</f>
        <v>916</v>
      </c>
      <c r="J54" s="59">
        <f t="shared" si="2"/>
        <v>7692</v>
      </c>
      <c r="K54" s="59">
        <f>SUM(K46,K39,K32,K25,K18,K11,K2)</f>
        <v>24679</v>
      </c>
      <c r="L54" s="60"/>
      <c r="M54" s="60"/>
    </row>
    <row r="55" ht="33.0" customHeight="1">
      <c r="C55" s="34" t="s">
        <v>55</v>
      </c>
      <c r="D55" s="57"/>
      <c r="E55" s="57">
        <f>AVERAGE(E8,E13,E20,E27,E34,E41,E48)</f>
        <v>0.7167142857</v>
      </c>
      <c r="F55" s="57">
        <f t="shared" ref="F55:F56" si="4">AVERAGE(F48,F41,F34,F27,F20,F13,F8)</f>
        <v>0.7808571429</v>
      </c>
      <c r="G55" s="57">
        <f>AVERAGE(G8,G13,G20,G27,G34,G41,G51)</f>
        <v>0.7521666667</v>
      </c>
      <c r="H55" s="57">
        <f>AVERAGE(H51,H41,H34,H27,H20,H13,H8)</f>
        <v>0.9288571429</v>
      </c>
      <c r="I55" s="61">
        <f>SUM(I8,I13,I20,I27,I34,I41, I48)</f>
        <v>386</v>
      </c>
      <c r="J55" s="59">
        <f t="shared" ref="J55:K55" si="3">SUM(J8,J13,J20,J27,J34,J41,J51)</f>
        <v>7538</v>
      </c>
      <c r="K55" s="59">
        <f t="shared" si="3"/>
        <v>24872</v>
      </c>
      <c r="L55" s="62" t="s">
        <v>66</v>
      </c>
      <c r="M55" s="62" t="s">
        <v>67</v>
      </c>
    </row>
    <row r="56" ht="33.0" customHeight="1">
      <c r="C56" s="34" t="s">
        <v>34</v>
      </c>
      <c r="D56" s="63"/>
      <c r="E56" s="63">
        <f>average(E49,E42,E35,E28,E21,E14,E9)</f>
        <v>0.716</v>
      </c>
      <c r="F56" s="57">
        <f t="shared" si="4"/>
        <v>0.7901666667</v>
      </c>
      <c r="G56" s="63">
        <v>0.751</v>
      </c>
      <c r="H56" s="57">
        <f>AVERAGE(H49,H42,H35,H28,H9)</f>
        <v>0.946</v>
      </c>
      <c r="I56" s="58">
        <f>SUM(I49,I42,I35,I28,I21,I14,I9)</f>
        <v>389</v>
      </c>
      <c r="J56" s="58">
        <f t="shared" ref="J56:K56" si="5">SUM(J49,J42,J35,J14,J9)</f>
        <v>7629</v>
      </c>
      <c r="K56" s="58">
        <f t="shared" si="5"/>
        <v>22355</v>
      </c>
      <c r="L56" s="62" t="s">
        <v>68</v>
      </c>
      <c r="M56" s="62" t="s">
        <v>67</v>
      </c>
    </row>
    <row r="57" ht="33.0" customHeight="1">
      <c r="C57" s="34" t="s">
        <v>54</v>
      </c>
      <c r="D57" s="57"/>
      <c r="E57" s="57">
        <f t="shared" ref="E57:H57" si="6">AVERAGE(E51,E44,E37,E30,E23,E16,E5)</f>
        <v>0.6991428571</v>
      </c>
      <c r="F57" s="57">
        <f t="shared" si="6"/>
        <v>0.7815714286</v>
      </c>
      <c r="G57" s="57">
        <f t="shared" si="6"/>
        <v>0.5236666667</v>
      </c>
      <c r="H57" s="57">
        <f t="shared" si="6"/>
        <v>0.9364285714</v>
      </c>
      <c r="I57" s="58">
        <f t="shared" ref="I57:K57" si="7">SUM(I51,I44,I37,I30,I23,I16,I5)</f>
        <v>2219</v>
      </c>
      <c r="J57" s="58">
        <f t="shared" si="7"/>
        <v>7694</v>
      </c>
      <c r="K57" s="58">
        <f t="shared" si="7"/>
        <v>24703</v>
      </c>
      <c r="L57" s="60"/>
      <c r="M57" s="60"/>
    </row>
    <row r="58" ht="33.0" customHeight="1">
      <c r="C58" s="34" t="s">
        <v>53</v>
      </c>
      <c r="D58" s="50"/>
      <c r="E58" s="50">
        <f>average(E50,E43,E36,E29,E22,E15,E4)</f>
        <v>0.7114285714</v>
      </c>
      <c r="F58" s="50">
        <f t="shared" ref="F58:H58" si="8">AVERAGE(F50,F36,F29,F22,F15,F4)</f>
        <v>0.7618333333</v>
      </c>
      <c r="G58" s="50">
        <f t="shared" si="8"/>
        <v>0.6833333333</v>
      </c>
      <c r="H58" s="50">
        <f t="shared" si="8"/>
        <v>0.9366</v>
      </c>
      <c r="I58" s="51">
        <f t="shared" ref="I58:K58" si="9">SUM(I50,I43,I36,I29,I22,I15,I4)</f>
        <v>1286</v>
      </c>
      <c r="J58" s="51">
        <f t="shared" si="9"/>
        <v>7648</v>
      </c>
      <c r="K58" s="51">
        <f t="shared" si="9"/>
        <v>24745</v>
      </c>
      <c r="L58" s="64"/>
      <c r="M58" s="64"/>
    </row>
    <row r="59" ht="33.0" customHeight="1">
      <c r="C59" s="34" t="s">
        <v>49</v>
      </c>
      <c r="D59" s="50"/>
      <c r="E59" s="50">
        <f>AVERAGE(E47,E40,E26,E19,E12,E3)</f>
        <v>0.7148333333</v>
      </c>
      <c r="F59" s="50">
        <f>AVERAGE(F50,F43,F36,F29,F22,F15,F4)</f>
        <v>0.7817142857</v>
      </c>
      <c r="G59" s="50">
        <f t="shared" ref="G59:H59" si="10">AVERAGE(G47,G40,G33,G26,G19,G12,G3)</f>
        <v>0.7815</v>
      </c>
      <c r="H59" s="50">
        <f t="shared" si="10"/>
        <v>0.949</v>
      </c>
      <c r="I59" s="51">
        <f t="shared" ref="I59:K59" si="11">SUM(I47,I40,I33,I19,I12,I3)</f>
        <v>789</v>
      </c>
      <c r="J59" s="51">
        <f t="shared" si="11"/>
        <v>7556</v>
      </c>
      <c r="K59" s="51">
        <f t="shared" si="11"/>
        <v>33245</v>
      </c>
      <c r="L59" s="64"/>
      <c r="M59" s="64"/>
    </row>
  </sheetData>
  <mergeCells count="14">
    <mergeCell ref="A25:A30"/>
    <mergeCell ref="A32:A37"/>
    <mergeCell ref="B32:B37"/>
    <mergeCell ref="A39:A44"/>
    <mergeCell ref="B39:B44"/>
    <mergeCell ref="A46:A51"/>
    <mergeCell ref="B46:B51"/>
    <mergeCell ref="A2:A9"/>
    <mergeCell ref="B2:B9"/>
    <mergeCell ref="A11:A16"/>
    <mergeCell ref="B11:B16"/>
    <mergeCell ref="A18:A23"/>
    <mergeCell ref="B18:B23"/>
    <mergeCell ref="B25:B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2.25"/>
    <col customWidth="1" min="3" max="3" width="24.0"/>
  </cols>
  <sheetData>
    <row r="1">
      <c r="A1" s="1" t="s">
        <v>0</v>
      </c>
      <c r="B1" s="1" t="s">
        <v>1</v>
      </c>
      <c r="C1" s="1" t="s">
        <v>3</v>
      </c>
      <c r="D1" s="1" t="s">
        <v>46</v>
      </c>
      <c r="E1" s="6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11</v>
      </c>
      <c r="B2" s="2" t="s">
        <v>12</v>
      </c>
      <c r="C2" s="34" t="s">
        <v>54</v>
      </c>
      <c r="D2" s="35" t="s">
        <v>69</v>
      </c>
      <c r="E2" s="66">
        <v>0.59</v>
      </c>
      <c r="F2" s="67">
        <v>0.69</v>
      </c>
      <c r="G2" s="67">
        <v>0.45</v>
      </c>
      <c r="H2" s="67">
        <v>0.9</v>
      </c>
      <c r="I2" s="67">
        <v>394.0</v>
      </c>
      <c r="J2" s="35">
        <v>1008.0</v>
      </c>
      <c r="K2" s="35">
        <v>3949.0</v>
      </c>
    </row>
    <row r="3" ht="25.5" customHeight="1">
      <c r="A3" s="5"/>
      <c r="B3" s="5"/>
      <c r="C3" s="34" t="s">
        <v>53</v>
      </c>
      <c r="D3" s="35" t="s">
        <v>69</v>
      </c>
      <c r="E3" s="66">
        <v>0.565</v>
      </c>
      <c r="F3" s="67">
        <v>0.719</v>
      </c>
      <c r="G3" s="67">
        <v>0.639</v>
      </c>
      <c r="H3" s="67">
        <v>0.837</v>
      </c>
      <c r="I3" s="67">
        <v>194.0</v>
      </c>
      <c r="J3" s="35">
        <v>1832.0</v>
      </c>
      <c r="K3" s="35">
        <v>3690.0</v>
      </c>
    </row>
    <row r="4" ht="25.5" customHeight="1">
      <c r="A4" s="5"/>
      <c r="B4" s="5"/>
      <c r="C4" s="34" t="s">
        <v>47</v>
      </c>
      <c r="D4" s="35" t="s">
        <v>69</v>
      </c>
      <c r="E4" s="66">
        <v>0.624</v>
      </c>
      <c r="F4" s="67">
        <v>0.711</v>
      </c>
      <c r="G4" s="67">
        <v>0.638</v>
      </c>
      <c r="H4" s="67">
        <v>0.9</v>
      </c>
      <c r="I4" s="67">
        <v>110.0</v>
      </c>
      <c r="J4" s="35">
        <v>1041.0</v>
      </c>
      <c r="K4" s="35">
        <v>3789.0</v>
      </c>
    </row>
    <row r="5" ht="25.5" customHeight="1">
      <c r="A5" s="5"/>
      <c r="B5" s="5"/>
      <c r="C5" s="34" t="s">
        <v>49</v>
      </c>
      <c r="D5" s="35" t="s">
        <v>69</v>
      </c>
      <c r="E5" s="66">
        <v>0.606</v>
      </c>
      <c r="F5" s="67">
        <v>0.713</v>
      </c>
      <c r="G5" s="67">
        <v>0.611</v>
      </c>
      <c r="H5" s="67">
        <v>0.882</v>
      </c>
      <c r="I5" s="67">
        <v>153.0</v>
      </c>
      <c r="J5" s="35">
        <v>1251.0</v>
      </c>
      <c r="K5" s="35">
        <v>3774.0</v>
      </c>
    </row>
    <row r="6" ht="25.5" customHeight="1">
      <c r="A6" s="5"/>
      <c r="B6" s="5"/>
      <c r="C6" s="34" t="s">
        <v>55</v>
      </c>
      <c r="D6" s="35" t="s">
        <v>69</v>
      </c>
      <c r="E6" s="68">
        <v>0.59</v>
      </c>
      <c r="F6" s="67">
        <v>0.71</v>
      </c>
      <c r="G6" s="67">
        <v>0.73</v>
      </c>
      <c r="H6" s="67">
        <v>0.87</v>
      </c>
      <c r="I6" s="67">
        <v>82.0</v>
      </c>
      <c r="J6" s="35">
        <v>1391.0</v>
      </c>
      <c r="K6" s="35">
        <v>3796.0</v>
      </c>
    </row>
    <row r="7" ht="25.5" customHeight="1">
      <c r="A7" s="5"/>
      <c r="B7" s="5"/>
      <c r="C7" s="34" t="s">
        <v>34</v>
      </c>
      <c r="D7" s="35" t="s">
        <v>69</v>
      </c>
      <c r="E7" s="67">
        <v>0.58</v>
      </c>
      <c r="F7" s="67">
        <v>0.76</v>
      </c>
      <c r="G7" s="67">
        <v>0.602</v>
      </c>
      <c r="H7" s="67">
        <v>0.944</v>
      </c>
      <c r="I7" s="67">
        <v>176.0</v>
      </c>
      <c r="J7" s="35">
        <v>529.0</v>
      </c>
      <c r="K7" s="35">
        <v>2676.0</v>
      </c>
    </row>
    <row r="8" ht="25.5" customHeight="1">
      <c r="A8" s="5"/>
      <c r="B8" s="5"/>
      <c r="C8" s="34" t="s">
        <v>47</v>
      </c>
      <c r="D8" s="35" t="s">
        <v>56</v>
      </c>
      <c r="E8" s="67">
        <v>0.651</v>
      </c>
      <c r="F8" s="67">
        <v>0.68</v>
      </c>
      <c r="G8" s="67">
        <v>0.7</v>
      </c>
      <c r="H8" s="67">
        <v>0.966</v>
      </c>
      <c r="I8" s="67">
        <v>114.0</v>
      </c>
      <c r="J8" s="35">
        <v>312.0</v>
      </c>
      <c r="K8" s="35">
        <v>4156.0</v>
      </c>
    </row>
    <row r="9" ht="27.75" customHeight="1">
      <c r="A9" s="5"/>
      <c r="B9" s="5"/>
      <c r="C9" s="34" t="s">
        <v>49</v>
      </c>
      <c r="D9" s="35" t="s">
        <v>56</v>
      </c>
      <c r="E9" s="35">
        <v>0.651</v>
      </c>
      <c r="F9" s="35" t="s">
        <v>50</v>
      </c>
      <c r="G9" s="35" t="s">
        <v>51</v>
      </c>
      <c r="H9" s="35" t="s">
        <v>52</v>
      </c>
      <c r="I9" s="35">
        <v>103.0</v>
      </c>
      <c r="J9" s="35">
        <v>304.0</v>
      </c>
      <c r="K9" s="35">
        <v>4171.0</v>
      </c>
    </row>
    <row r="10" ht="27.75" customHeight="1">
      <c r="A10" s="5"/>
      <c r="B10" s="5"/>
      <c r="C10" s="34" t="s">
        <v>53</v>
      </c>
      <c r="D10" s="35" t="s">
        <v>56</v>
      </c>
      <c r="E10" s="35">
        <v>0.644</v>
      </c>
      <c r="F10" s="35">
        <v>0.68</v>
      </c>
      <c r="G10" s="35">
        <v>0.61</v>
      </c>
      <c r="H10" s="35">
        <v>0.967</v>
      </c>
      <c r="I10" s="35">
        <v>195.0</v>
      </c>
      <c r="J10" s="35">
        <v>301.0</v>
      </c>
      <c r="K10" s="35">
        <v>4175.0</v>
      </c>
    </row>
    <row r="11" ht="27.75" customHeight="1">
      <c r="A11" s="5"/>
      <c r="B11" s="5"/>
      <c r="C11" s="34" t="s">
        <v>54</v>
      </c>
      <c r="D11" s="35" t="s">
        <v>56</v>
      </c>
      <c r="E11" s="67">
        <v>0.63</v>
      </c>
      <c r="F11" s="67">
        <v>0.68</v>
      </c>
      <c r="G11" s="67">
        <v>0.501</v>
      </c>
      <c r="H11" s="67">
        <v>0.965</v>
      </c>
      <c r="I11" s="67">
        <v>359.0</v>
      </c>
      <c r="J11" s="35">
        <v>305.0</v>
      </c>
      <c r="K11" s="35">
        <v>4165.0</v>
      </c>
    </row>
    <row r="12" ht="27.75" customHeight="1">
      <c r="A12" s="5"/>
      <c r="B12" s="5"/>
      <c r="C12" s="34" t="s">
        <v>55</v>
      </c>
      <c r="D12" s="35" t="s">
        <v>56</v>
      </c>
      <c r="E12" s="35">
        <v>0.647</v>
      </c>
      <c r="F12" s="35">
        <v>0.67</v>
      </c>
      <c r="G12" s="35">
        <v>0.72</v>
      </c>
      <c r="H12" s="35">
        <v>0.967</v>
      </c>
      <c r="I12" s="35">
        <v>37.0</v>
      </c>
      <c r="J12" s="35">
        <v>300.0</v>
      </c>
      <c r="K12" s="35">
        <v>4328.0</v>
      </c>
    </row>
    <row r="13" ht="27.75" customHeight="1">
      <c r="A13" s="5"/>
      <c r="B13" s="5"/>
      <c r="C13" s="34" t="s">
        <v>34</v>
      </c>
      <c r="D13" s="35" t="s">
        <v>56</v>
      </c>
      <c r="E13" s="35">
        <v>0.647</v>
      </c>
      <c r="F13" s="35">
        <v>0.67</v>
      </c>
      <c r="G13" s="35">
        <v>0.72</v>
      </c>
      <c r="H13" s="35">
        <v>0.963</v>
      </c>
      <c r="I13" s="35">
        <v>64.0</v>
      </c>
      <c r="J13" s="35">
        <v>339.0</v>
      </c>
      <c r="K13" s="35">
        <v>4236.0</v>
      </c>
      <c r="L13" s="69">
        <v>55.0</v>
      </c>
    </row>
    <row r="14" ht="27.75" customHeight="1">
      <c r="A14" s="7"/>
      <c r="B14" s="7"/>
      <c r="C14" s="34" t="s">
        <v>70</v>
      </c>
      <c r="D14" s="35" t="s">
        <v>48</v>
      </c>
      <c r="E14" s="42">
        <v>0.471</v>
      </c>
      <c r="F14" s="42">
        <v>0.499</v>
      </c>
      <c r="G14" s="42">
        <v>0.848</v>
      </c>
      <c r="H14" s="42">
        <v>0.952</v>
      </c>
      <c r="I14" s="70">
        <v>75.0</v>
      </c>
      <c r="J14" s="70">
        <v>633.0</v>
      </c>
      <c r="K14" s="70">
        <v>12731.0</v>
      </c>
    </row>
    <row r="15" ht="27.75" customHeight="1">
      <c r="A15" s="36"/>
      <c r="B15" s="36"/>
      <c r="C15" s="34" t="s">
        <v>71</v>
      </c>
      <c r="D15" s="35" t="s">
        <v>72</v>
      </c>
      <c r="E15" s="42">
        <v>0.45</v>
      </c>
      <c r="F15" s="42">
        <v>0.514</v>
      </c>
      <c r="G15" s="42">
        <v>0.784</v>
      </c>
      <c r="H15" s="42">
        <v>0.897</v>
      </c>
      <c r="I15" s="70">
        <v>131.0</v>
      </c>
      <c r="J15" s="70">
        <v>1494.0</v>
      </c>
      <c r="K15" s="70">
        <v>12354.0</v>
      </c>
    </row>
    <row r="16" ht="27.75" customHeight="1">
      <c r="A16" s="36"/>
      <c r="B16" s="36"/>
      <c r="C16" s="34" t="s">
        <v>73</v>
      </c>
      <c r="D16" s="35" t="s">
        <v>48</v>
      </c>
      <c r="E16" s="42">
        <v>0.621</v>
      </c>
      <c r="F16" s="35">
        <v>0.666</v>
      </c>
      <c r="G16" s="35">
        <v>0.75</v>
      </c>
      <c r="H16" s="35">
        <v>0.943</v>
      </c>
      <c r="I16" s="35">
        <v>73.0</v>
      </c>
      <c r="J16" s="35">
        <v>675.0</v>
      </c>
      <c r="K16" s="35">
        <v>5597.0</v>
      </c>
    </row>
    <row r="17" ht="27.75" customHeight="1">
      <c r="A17" s="36"/>
      <c r="B17" s="36"/>
      <c r="C17" s="37"/>
      <c r="D17" s="38"/>
      <c r="E17" s="71"/>
      <c r="F17" s="38"/>
      <c r="G17" s="38"/>
      <c r="H17" s="38"/>
      <c r="I17" s="38"/>
      <c r="J17" s="38"/>
      <c r="K17" s="38"/>
    </row>
    <row r="18">
      <c r="A18" s="1" t="s">
        <v>0</v>
      </c>
      <c r="B18" s="1" t="s">
        <v>1</v>
      </c>
      <c r="C18" s="1" t="s">
        <v>3</v>
      </c>
      <c r="D18" s="1" t="s">
        <v>46</v>
      </c>
      <c r="E18" s="65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ht="25.5" customHeight="1">
      <c r="A19" s="2" t="s">
        <v>11</v>
      </c>
      <c r="B19" s="2" t="s">
        <v>17</v>
      </c>
      <c r="C19" s="34" t="s">
        <v>54</v>
      </c>
      <c r="D19" s="35" t="s">
        <v>69</v>
      </c>
      <c r="E19" s="66">
        <v>0.59</v>
      </c>
      <c r="F19" s="67">
        <v>0.73</v>
      </c>
      <c r="G19" s="67">
        <v>0.63</v>
      </c>
      <c r="H19" s="67">
        <v>0.84</v>
      </c>
      <c r="I19" s="70">
        <v>350.0</v>
      </c>
      <c r="J19" s="35">
        <v>6293.0</v>
      </c>
      <c r="K19" s="35">
        <v>12717.0</v>
      </c>
    </row>
    <row r="20" ht="25.5" customHeight="1">
      <c r="A20" s="5"/>
      <c r="B20" s="5"/>
      <c r="C20" s="34" t="s">
        <v>53</v>
      </c>
      <c r="D20" s="35" t="s">
        <v>69</v>
      </c>
      <c r="E20" s="66">
        <v>0.59</v>
      </c>
      <c r="F20" s="67">
        <v>0.74</v>
      </c>
      <c r="G20" s="67">
        <v>0.82</v>
      </c>
      <c r="H20" s="67" t="s">
        <v>37</v>
      </c>
      <c r="I20" s="70">
        <v>175.0</v>
      </c>
      <c r="J20" s="35">
        <v>7000.0</v>
      </c>
      <c r="K20" s="35">
        <v>12185.0</v>
      </c>
    </row>
    <row r="21" ht="25.5" customHeight="1">
      <c r="A21" s="5"/>
      <c r="B21" s="5"/>
      <c r="C21" s="34" t="s">
        <v>47</v>
      </c>
      <c r="D21" s="35" t="s">
        <v>69</v>
      </c>
      <c r="E21" s="66">
        <v>0.61</v>
      </c>
      <c r="F21" s="67">
        <v>0.74</v>
      </c>
      <c r="G21" s="67">
        <v>0.81</v>
      </c>
      <c r="H21" s="67">
        <v>0.85</v>
      </c>
      <c r="I21" s="70">
        <v>150.0</v>
      </c>
      <c r="J21" s="35">
        <v>6023.0</v>
      </c>
      <c r="K21" s="35">
        <v>12247.0</v>
      </c>
    </row>
    <row r="22" ht="25.5" customHeight="1">
      <c r="A22" s="5"/>
      <c r="B22" s="5"/>
      <c r="C22" s="34" t="s">
        <v>49</v>
      </c>
      <c r="D22" s="35" t="s">
        <v>69</v>
      </c>
      <c r="E22" s="66">
        <v>0.612</v>
      </c>
      <c r="F22" s="67">
        <v>0.741</v>
      </c>
      <c r="G22" s="67">
        <v>0.79</v>
      </c>
      <c r="H22" s="67">
        <v>0.85</v>
      </c>
      <c r="I22" s="70">
        <v>150.0</v>
      </c>
      <c r="J22" s="35">
        <v>5962.0</v>
      </c>
      <c r="K22" s="35">
        <v>12248.0</v>
      </c>
    </row>
    <row r="23" ht="25.5" customHeight="1">
      <c r="A23" s="5"/>
      <c r="B23" s="5"/>
      <c r="C23" s="34" t="s">
        <v>55</v>
      </c>
      <c r="D23" s="35" t="s">
        <v>69</v>
      </c>
      <c r="E23" s="66">
        <v>0.58</v>
      </c>
      <c r="F23" s="67">
        <v>0.75</v>
      </c>
      <c r="G23" s="67">
        <v>0.85</v>
      </c>
      <c r="H23" s="67">
        <v>0.81</v>
      </c>
      <c r="I23" s="70">
        <v>60.0</v>
      </c>
      <c r="J23" s="35">
        <v>8300.0</v>
      </c>
      <c r="K23" s="35">
        <v>11.534</v>
      </c>
    </row>
    <row r="24" ht="25.5" customHeight="1">
      <c r="A24" s="5"/>
      <c r="B24" s="5"/>
      <c r="C24" s="34" t="s">
        <v>34</v>
      </c>
      <c r="D24" s="35" t="s">
        <v>69</v>
      </c>
      <c r="E24" s="67">
        <v>0.61</v>
      </c>
      <c r="F24" s="67">
        <v>0.75</v>
      </c>
      <c r="G24" s="67">
        <v>0.89</v>
      </c>
      <c r="H24" s="67">
        <v>0.83</v>
      </c>
      <c r="I24" s="70">
        <v>21.0</v>
      </c>
      <c r="J24" s="35">
        <v>7031.0</v>
      </c>
      <c r="K24" s="35">
        <v>11420.0</v>
      </c>
    </row>
    <row r="25" ht="25.5" customHeight="1">
      <c r="A25" s="5"/>
      <c r="B25" s="5"/>
      <c r="C25" s="34" t="s">
        <v>47</v>
      </c>
      <c r="D25" s="35" t="s">
        <v>56</v>
      </c>
      <c r="E25" s="67">
        <v>0.608</v>
      </c>
      <c r="F25" s="67">
        <v>0.72</v>
      </c>
      <c r="G25" s="67">
        <v>0.83</v>
      </c>
      <c r="H25" s="67">
        <v>0.86</v>
      </c>
      <c r="I25" s="70">
        <v>168.0</v>
      </c>
      <c r="J25" s="35">
        <v>5487.0</v>
      </c>
      <c r="K25" s="35">
        <v>12914.0</v>
      </c>
    </row>
    <row r="26" ht="27.75" customHeight="1">
      <c r="A26" s="5"/>
      <c r="B26" s="5"/>
      <c r="C26" s="34" t="s">
        <v>49</v>
      </c>
      <c r="D26" s="35" t="s">
        <v>56</v>
      </c>
      <c r="E26" s="35">
        <v>0.608</v>
      </c>
      <c r="F26" s="35" t="s">
        <v>36</v>
      </c>
      <c r="G26" s="35" t="s">
        <v>39</v>
      </c>
      <c r="H26" s="35" t="s">
        <v>57</v>
      </c>
      <c r="I26" s="70">
        <v>157.0</v>
      </c>
      <c r="J26" s="35">
        <v>5483.0</v>
      </c>
      <c r="K26" s="35">
        <v>12915.0</v>
      </c>
    </row>
    <row r="27" ht="27.75" customHeight="1">
      <c r="A27" s="5"/>
      <c r="B27" s="5"/>
      <c r="C27" s="34" t="s">
        <v>53</v>
      </c>
      <c r="D27" s="35" t="s">
        <v>56</v>
      </c>
      <c r="E27" s="35">
        <v>0.607</v>
      </c>
      <c r="F27" s="35">
        <v>0.72</v>
      </c>
      <c r="G27" s="35">
        <v>0.78</v>
      </c>
      <c r="H27" s="35">
        <v>0.86</v>
      </c>
      <c r="I27" s="70">
        <v>209.0</v>
      </c>
      <c r="J27" s="35">
        <v>5486.0</v>
      </c>
      <c r="K27" s="35">
        <v>12914.0</v>
      </c>
    </row>
    <row r="28" ht="27.75" customHeight="1">
      <c r="A28" s="5"/>
      <c r="B28" s="5"/>
      <c r="C28" s="34" t="s">
        <v>54</v>
      </c>
      <c r="D28" s="35" t="s">
        <v>56</v>
      </c>
      <c r="E28" s="67">
        <v>0.604</v>
      </c>
      <c r="F28" s="67">
        <v>0.72</v>
      </c>
      <c r="G28" s="67">
        <v>0.62</v>
      </c>
      <c r="H28" s="67">
        <v>0.86</v>
      </c>
      <c r="I28" s="70">
        <v>354.0</v>
      </c>
      <c r="J28" s="35">
        <v>5483.0</v>
      </c>
      <c r="K28" s="35">
        <v>12914.0</v>
      </c>
    </row>
    <row r="29" ht="27.75" customHeight="1">
      <c r="A29" s="5"/>
      <c r="B29" s="5"/>
      <c r="C29" s="34" t="s">
        <v>55</v>
      </c>
      <c r="D29" s="35" t="s">
        <v>56</v>
      </c>
      <c r="E29" s="35">
        <v>0.607</v>
      </c>
      <c r="F29" s="35">
        <v>0.73</v>
      </c>
      <c r="G29" s="35" t="s">
        <v>58</v>
      </c>
      <c r="H29" s="35">
        <v>0.85</v>
      </c>
      <c r="I29" s="35">
        <v>7.0</v>
      </c>
      <c r="J29" s="35">
        <v>5338.0</v>
      </c>
      <c r="K29" s="35">
        <v>12291.0</v>
      </c>
    </row>
    <row r="30" ht="27.75" customHeight="1">
      <c r="A30" s="5"/>
      <c r="B30" s="5"/>
      <c r="C30" s="34" t="s">
        <v>34</v>
      </c>
      <c r="D30" s="35" t="s">
        <v>56</v>
      </c>
      <c r="E30" s="35">
        <v>0.607</v>
      </c>
      <c r="F30" s="35" t="s">
        <v>36</v>
      </c>
      <c r="G30" s="35">
        <v>0.84</v>
      </c>
      <c r="H30" s="35" t="s">
        <v>40</v>
      </c>
      <c r="I30" s="35">
        <v>8.0</v>
      </c>
      <c r="J30" s="35">
        <v>5704.0</v>
      </c>
      <c r="K30" s="35">
        <v>12895.0</v>
      </c>
      <c r="L30" s="69">
        <v>47.0</v>
      </c>
    </row>
    <row r="31" ht="27.75" customHeight="1">
      <c r="A31" s="7"/>
      <c r="B31" s="7"/>
      <c r="C31" s="34" t="s">
        <v>70</v>
      </c>
      <c r="D31" s="35" t="s">
        <v>48</v>
      </c>
      <c r="E31" s="42">
        <v>0.698</v>
      </c>
      <c r="F31" s="42">
        <v>0.817</v>
      </c>
      <c r="G31" s="42">
        <v>0.97</v>
      </c>
      <c r="H31" s="42">
        <v>0.873</v>
      </c>
      <c r="I31" s="70">
        <v>13.0</v>
      </c>
      <c r="J31" s="70">
        <v>6209.0</v>
      </c>
      <c r="K31" s="70">
        <v>9564.0</v>
      </c>
    </row>
    <row r="32" ht="27.75" customHeight="1">
      <c r="A32" s="36"/>
      <c r="B32" s="36"/>
      <c r="C32" s="34" t="s">
        <v>71</v>
      </c>
      <c r="D32" s="35" t="s">
        <v>72</v>
      </c>
      <c r="E32" s="42">
        <v>0.702</v>
      </c>
      <c r="F32" s="42" t="s">
        <v>60</v>
      </c>
      <c r="G32" s="42">
        <v>0.971</v>
      </c>
      <c r="H32" s="42">
        <v>0.874</v>
      </c>
      <c r="I32" s="70">
        <v>14.0</v>
      </c>
      <c r="J32" s="70">
        <v>6202.0</v>
      </c>
      <c r="K32" s="70">
        <v>9339.0</v>
      </c>
    </row>
    <row r="33" ht="27.75" customHeight="1">
      <c r="A33" s="36"/>
      <c r="B33" s="36"/>
      <c r="C33" s="34" t="s">
        <v>73</v>
      </c>
      <c r="D33" s="35" t="s">
        <v>48</v>
      </c>
      <c r="E33" s="42">
        <v>0.658</v>
      </c>
      <c r="F33" s="35">
        <v>0.767</v>
      </c>
      <c r="G33" s="35">
        <v>0.92</v>
      </c>
      <c r="H33" s="35">
        <v>0.878</v>
      </c>
      <c r="I33" s="35">
        <v>56.0</v>
      </c>
      <c r="J33" s="35">
        <v>3934.0</v>
      </c>
      <c r="K33" s="35">
        <v>8572.0</v>
      </c>
    </row>
    <row r="34" ht="27.75" customHeight="1">
      <c r="A34" s="36"/>
      <c r="B34" s="36"/>
      <c r="C34" s="37"/>
      <c r="D34" s="38"/>
      <c r="E34" s="71"/>
      <c r="F34" s="38"/>
      <c r="G34" s="38"/>
      <c r="H34" s="38"/>
      <c r="I34" s="38"/>
      <c r="J34" s="38"/>
      <c r="K34" s="38"/>
    </row>
    <row r="35">
      <c r="A35" s="1" t="s">
        <v>0</v>
      </c>
      <c r="B35" s="1" t="s">
        <v>1</v>
      </c>
      <c r="C35" s="1" t="s">
        <v>3</v>
      </c>
      <c r="D35" s="1" t="s">
        <v>46</v>
      </c>
      <c r="E35" s="65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ht="25.5" customHeight="1">
      <c r="A36" s="2" t="s">
        <v>11</v>
      </c>
      <c r="B36" s="2" t="s">
        <v>18</v>
      </c>
      <c r="C36" s="34" t="s">
        <v>54</v>
      </c>
      <c r="D36" s="35" t="s">
        <v>69</v>
      </c>
      <c r="E36" s="66">
        <v>0.511</v>
      </c>
      <c r="F36" s="67">
        <v>0.804</v>
      </c>
      <c r="G36" s="67">
        <v>0.549</v>
      </c>
      <c r="H36" s="67">
        <v>0.764</v>
      </c>
      <c r="I36" s="67">
        <v>249.0</v>
      </c>
      <c r="J36" s="35">
        <v>1369.0</v>
      </c>
      <c r="K36" s="35">
        <v>1082.0</v>
      </c>
    </row>
    <row r="37" ht="25.5" customHeight="1">
      <c r="A37" s="5"/>
      <c r="B37" s="5"/>
      <c r="C37" s="34" t="s">
        <v>53</v>
      </c>
      <c r="D37" s="35" t="s">
        <v>69</v>
      </c>
      <c r="E37" s="66">
        <v>0.302</v>
      </c>
      <c r="F37" s="67">
        <v>0.818</v>
      </c>
      <c r="G37" s="67">
        <v>0.8</v>
      </c>
      <c r="H37" s="67">
        <v>0.62</v>
      </c>
      <c r="I37" s="67">
        <v>101.0</v>
      </c>
      <c r="J37" s="35">
        <v>2750.0</v>
      </c>
      <c r="K37" s="35">
        <v>1007.0</v>
      </c>
    </row>
    <row r="38" ht="25.5" customHeight="1">
      <c r="A38" s="5"/>
      <c r="B38" s="5"/>
      <c r="C38" s="34" t="s">
        <v>47</v>
      </c>
      <c r="D38" s="35" t="s">
        <v>69</v>
      </c>
      <c r="E38" s="66">
        <v>0.535</v>
      </c>
      <c r="F38" s="67">
        <v>0.817</v>
      </c>
      <c r="G38" s="67">
        <v>0.73</v>
      </c>
      <c r="H38" s="67">
        <v>0.755</v>
      </c>
      <c r="I38" s="67">
        <v>91.0</v>
      </c>
      <c r="J38" s="35">
        <v>1465.0</v>
      </c>
      <c r="K38" s="35">
        <v>1013.0</v>
      </c>
    </row>
    <row r="39" ht="25.5" customHeight="1">
      <c r="A39" s="5"/>
      <c r="B39" s="5"/>
      <c r="C39" s="34" t="s">
        <v>49</v>
      </c>
      <c r="D39" s="35" t="s">
        <v>69</v>
      </c>
      <c r="E39" s="66">
        <v>0.524</v>
      </c>
      <c r="F39" s="67">
        <v>0.815</v>
      </c>
      <c r="G39" s="67">
        <v>0.734</v>
      </c>
      <c r="H39" s="67">
        <v>0.747</v>
      </c>
      <c r="I39" s="67">
        <v>87.0</v>
      </c>
      <c r="J39" s="35">
        <v>1524.0</v>
      </c>
      <c r="K39" s="35">
        <v>1022.0</v>
      </c>
    </row>
    <row r="40" ht="25.5" customHeight="1">
      <c r="A40" s="5"/>
      <c r="B40" s="5"/>
      <c r="C40" s="34" t="s">
        <v>55</v>
      </c>
      <c r="D40" s="35" t="s">
        <v>69</v>
      </c>
      <c r="E40" s="68">
        <v>0.668</v>
      </c>
      <c r="F40" s="67">
        <v>0.801</v>
      </c>
      <c r="G40" s="67">
        <v>0.87</v>
      </c>
      <c r="H40" s="67">
        <v>0.869</v>
      </c>
      <c r="I40" s="67">
        <v>70.0</v>
      </c>
      <c r="J40" s="35">
        <v>667.0</v>
      </c>
      <c r="K40" s="35">
        <v>1100.0</v>
      </c>
    </row>
    <row r="41" ht="25.5" customHeight="1">
      <c r="A41" s="5"/>
      <c r="B41" s="5"/>
      <c r="C41" s="34" t="s">
        <v>34</v>
      </c>
      <c r="D41" s="35" t="s">
        <v>69</v>
      </c>
      <c r="E41" s="67">
        <v>0.567</v>
      </c>
      <c r="F41" s="67">
        <v>0.812</v>
      </c>
      <c r="G41" s="67">
        <v>0.836</v>
      </c>
      <c r="H41" s="67">
        <v>0.771</v>
      </c>
      <c r="I41" s="67">
        <v>21.0</v>
      </c>
      <c r="J41" s="35">
        <v>1333.0</v>
      </c>
      <c r="K41" s="35">
        <v>1037.0</v>
      </c>
    </row>
    <row r="42" ht="25.5" customHeight="1">
      <c r="A42" s="5"/>
      <c r="B42" s="5"/>
      <c r="C42" s="34" t="s">
        <v>47</v>
      </c>
      <c r="D42" s="35" t="s">
        <v>56</v>
      </c>
      <c r="E42" s="72">
        <v>0.705</v>
      </c>
      <c r="F42" s="72">
        <v>0.794</v>
      </c>
      <c r="G42" s="72">
        <v>0.826</v>
      </c>
      <c r="H42" s="72">
        <v>0.918</v>
      </c>
      <c r="I42" s="72">
        <v>100.0</v>
      </c>
      <c r="J42" s="39">
        <v>390.0</v>
      </c>
      <c r="K42" s="39">
        <v>1139.0</v>
      </c>
    </row>
    <row r="43" ht="27.75" customHeight="1">
      <c r="A43" s="5"/>
      <c r="B43" s="5"/>
      <c r="C43" s="34" t="s">
        <v>49</v>
      </c>
      <c r="D43" s="35" t="s">
        <v>56</v>
      </c>
      <c r="E43" s="39">
        <v>0.708</v>
      </c>
      <c r="F43" s="39" t="s">
        <v>59</v>
      </c>
      <c r="G43" s="39" t="s">
        <v>40</v>
      </c>
      <c r="H43" s="39">
        <v>0.919</v>
      </c>
      <c r="I43" s="39">
        <v>83.0</v>
      </c>
      <c r="J43" s="39">
        <v>387.0</v>
      </c>
      <c r="K43" s="39">
        <v>1141.0</v>
      </c>
    </row>
    <row r="44" ht="27.75" customHeight="1">
      <c r="A44" s="5"/>
      <c r="B44" s="5"/>
      <c r="C44" s="34" t="s">
        <v>53</v>
      </c>
      <c r="D44" s="35" t="s">
        <v>56</v>
      </c>
      <c r="E44" s="39">
        <v>0.69</v>
      </c>
      <c r="F44" s="39">
        <v>0.794</v>
      </c>
      <c r="G44" s="39">
        <v>0.69</v>
      </c>
      <c r="H44" s="39" t="s">
        <v>61</v>
      </c>
      <c r="I44" s="39">
        <v>164.0</v>
      </c>
      <c r="J44" s="39">
        <v>384.0</v>
      </c>
      <c r="K44" s="39">
        <v>1140.0</v>
      </c>
    </row>
    <row r="45" ht="27.75" customHeight="1">
      <c r="A45" s="5"/>
      <c r="B45" s="5"/>
      <c r="C45" s="34" t="s">
        <v>54</v>
      </c>
      <c r="D45" s="35" t="s">
        <v>56</v>
      </c>
      <c r="E45" s="67">
        <v>0.74</v>
      </c>
      <c r="F45" s="67">
        <v>0.791</v>
      </c>
      <c r="G45" s="67">
        <v>0.49</v>
      </c>
      <c r="H45" s="67">
        <v>0.975</v>
      </c>
      <c r="I45" s="67">
        <v>130.0</v>
      </c>
      <c r="J45" s="35">
        <v>86.0</v>
      </c>
      <c r="K45" s="35">
        <v>906.0</v>
      </c>
    </row>
    <row r="46" ht="27.75" customHeight="1">
      <c r="A46" s="5"/>
      <c r="B46" s="5"/>
      <c r="C46" s="34" t="s">
        <v>55</v>
      </c>
      <c r="D46" s="35" t="s">
        <v>56</v>
      </c>
      <c r="E46" s="39">
        <v>0.704</v>
      </c>
      <c r="F46" s="39">
        <v>0.797</v>
      </c>
      <c r="G46" s="39">
        <v>0.901</v>
      </c>
      <c r="H46" s="39">
        <v>0.904</v>
      </c>
      <c r="I46" s="39">
        <v>46.0</v>
      </c>
      <c r="J46" s="39">
        <v>469.0</v>
      </c>
      <c r="K46" s="39">
        <v>1122.0</v>
      </c>
    </row>
    <row r="47" ht="27.75" customHeight="1">
      <c r="A47" s="5"/>
      <c r="B47" s="5"/>
      <c r="C47" s="34" t="s">
        <v>34</v>
      </c>
      <c r="D47" s="35" t="s">
        <v>56</v>
      </c>
      <c r="E47" s="39">
        <v>0.709</v>
      </c>
      <c r="F47" s="44">
        <v>0.796</v>
      </c>
      <c r="G47" s="39">
        <v>0.82</v>
      </c>
      <c r="H47" s="39">
        <v>0.905</v>
      </c>
      <c r="I47" s="39">
        <v>22.0</v>
      </c>
      <c r="J47" s="39">
        <v>460.0</v>
      </c>
      <c r="K47" s="39">
        <v>1126.0</v>
      </c>
      <c r="L47" s="69">
        <v>50.0</v>
      </c>
    </row>
    <row r="48" ht="27.75" customHeight="1">
      <c r="A48" s="7"/>
      <c r="B48" s="7"/>
      <c r="C48" s="34" t="s">
        <v>70</v>
      </c>
      <c r="D48" s="35" t="s">
        <v>48</v>
      </c>
      <c r="E48" s="42">
        <v>0.625</v>
      </c>
      <c r="F48" s="42">
        <v>0.694</v>
      </c>
      <c r="G48" s="42">
        <v>0.943</v>
      </c>
      <c r="H48" s="42">
        <v>0.91</v>
      </c>
      <c r="I48" s="70">
        <v>33.0</v>
      </c>
      <c r="J48" s="70">
        <v>464.0</v>
      </c>
      <c r="K48" s="70">
        <v>2215.0</v>
      </c>
    </row>
    <row r="49" ht="27.75" customHeight="1">
      <c r="A49" s="36"/>
      <c r="B49" s="36"/>
      <c r="C49" s="34" t="s">
        <v>71</v>
      </c>
      <c r="D49" s="35" t="s">
        <v>72</v>
      </c>
      <c r="E49" s="42">
        <v>0.613</v>
      </c>
      <c r="F49" s="42">
        <v>0.695</v>
      </c>
      <c r="G49" s="42">
        <v>0.961</v>
      </c>
      <c r="H49" s="42">
        <v>0.898</v>
      </c>
      <c r="I49" s="70">
        <v>27.0</v>
      </c>
      <c r="J49" s="70">
        <v>569.0</v>
      </c>
      <c r="K49" s="70">
        <v>2204.0</v>
      </c>
    </row>
    <row r="50" ht="27.75" customHeight="1">
      <c r="A50" s="36"/>
      <c r="B50" s="36"/>
      <c r="C50" s="34" t="s">
        <v>73</v>
      </c>
      <c r="D50" s="35" t="s">
        <v>48</v>
      </c>
      <c r="E50" s="42">
        <v>0.636</v>
      </c>
      <c r="F50" s="35">
        <v>0.843</v>
      </c>
      <c r="G50" s="35">
        <v>0.789</v>
      </c>
      <c r="H50" s="35">
        <v>0.81</v>
      </c>
      <c r="I50" s="35">
        <v>46.0</v>
      </c>
      <c r="J50" s="35">
        <v>944.0</v>
      </c>
      <c r="K50" s="35">
        <v>748.0</v>
      </c>
    </row>
    <row r="51" ht="27.75" customHeight="1">
      <c r="A51" s="36"/>
      <c r="B51" s="36"/>
      <c r="C51" s="37"/>
      <c r="D51" s="38"/>
      <c r="E51" s="71"/>
      <c r="F51" s="38"/>
      <c r="G51" s="38"/>
      <c r="H51" s="38"/>
      <c r="I51" s="38"/>
      <c r="J51" s="38"/>
      <c r="K51" s="38"/>
    </row>
    <row r="52">
      <c r="A52" s="1" t="s">
        <v>0</v>
      </c>
      <c r="B52" s="1" t="s">
        <v>1</v>
      </c>
      <c r="C52" s="1" t="s">
        <v>3</v>
      </c>
      <c r="D52" s="1" t="s">
        <v>46</v>
      </c>
      <c r="E52" s="65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</row>
    <row r="53" ht="25.5" customHeight="1">
      <c r="A53" s="2" t="s">
        <v>11</v>
      </c>
      <c r="B53" s="2" t="s">
        <v>19</v>
      </c>
      <c r="C53" s="34" t="s">
        <v>54</v>
      </c>
      <c r="D53" s="35" t="s">
        <v>69</v>
      </c>
      <c r="E53" s="66">
        <v>0.67</v>
      </c>
      <c r="F53" s="67">
        <v>0.8</v>
      </c>
      <c r="G53" s="67">
        <v>0.47</v>
      </c>
      <c r="H53" s="67">
        <v>0.89</v>
      </c>
      <c r="I53" s="67">
        <v>134.0</v>
      </c>
      <c r="J53" s="35">
        <v>421.0</v>
      </c>
      <c r="K53" s="35">
        <v>854.0</v>
      </c>
    </row>
    <row r="54" ht="25.5" customHeight="1">
      <c r="A54" s="5"/>
      <c r="B54" s="5"/>
      <c r="C54" s="34" t="s">
        <v>53</v>
      </c>
      <c r="D54" s="35" t="s">
        <v>69</v>
      </c>
      <c r="E54" s="66">
        <v>0.65</v>
      </c>
      <c r="F54" s="67">
        <v>0.82</v>
      </c>
      <c r="G54" s="67">
        <v>0.65</v>
      </c>
      <c r="H54" s="67">
        <v>0.84</v>
      </c>
      <c r="I54" s="67">
        <v>70.0</v>
      </c>
      <c r="J54" s="35">
        <v>648.0</v>
      </c>
      <c r="K54" s="35">
        <v>757.0</v>
      </c>
    </row>
    <row r="55" ht="25.5" customHeight="1">
      <c r="A55" s="5"/>
      <c r="B55" s="5"/>
      <c r="C55" s="34" t="s">
        <v>47</v>
      </c>
      <c r="D55" s="35" t="s">
        <v>69</v>
      </c>
      <c r="E55" s="66">
        <v>0.74</v>
      </c>
      <c r="F55" s="67">
        <v>0.831</v>
      </c>
      <c r="G55" s="67">
        <v>0.663</v>
      </c>
      <c r="H55" s="67">
        <v>0.916</v>
      </c>
      <c r="I55" s="67">
        <v>49.0</v>
      </c>
      <c r="J55" s="35">
        <v>329.0</v>
      </c>
      <c r="K55" s="35">
        <v>730.0</v>
      </c>
    </row>
    <row r="56" ht="25.5" customHeight="1">
      <c r="A56" s="5"/>
      <c r="B56" s="5"/>
      <c r="C56" s="34" t="s">
        <v>49</v>
      </c>
      <c r="D56" s="35" t="s">
        <v>69</v>
      </c>
      <c r="E56" s="66">
        <v>0.74</v>
      </c>
      <c r="F56" s="67">
        <v>0.831</v>
      </c>
      <c r="G56" s="67">
        <v>0.665</v>
      </c>
      <c r="H56" s="67">
        <v>0.914</v>
      </c>
      <c r="I56" s="67">
        <v>48.0</v>
      </c>
      <c r="J56" s="35">
        <v>338.0</v>
      </c>
      <c r="K56" s="35">
        <v>732.0</v>
      </c>
    </row>
    <row r="57" ht="25.5" customHeight="1">
      <c r="A57" s="5"/>
      <c r="B57" s="5"/>
      <c r="C57" s="34" t="s">
        <v>55</v>
      </c>
      <c r="D57" s="35" t="s">
        <v>69</v>
      </c>
      <c r="E57" s="73">
        <v>0.72</v>
      </c>
      <c r="F57" s="67">
        <v>0.82</v>
      </c>
      <c r="G57" s="67">
        <v>0.72</v>
      </c>
      <c r="H57" s="67">
        <v>0.89</v>
      </c>
      <c r="I57" s="67">
        <v>21.0</v>
      </c>
      <c r="J57" s="35">
        <v>412.0</v>
      </c>
      <c r="K57" s="35">
        <v>750.0</v>
      </c>
    </row>
    <row r="58" ht="25.5" customHeight="1">
      <c r="A58" s="5"/>
      <c r="B58" s="5"/>
      <c r="C58" s="34" t="s">
        <v>34</v>
      </c>
      <c r="D58" s="35" t="s">
        <v>69</v>
      </c>
      <c r="E58" s="67">
        <v>0.705</v>
      </c>
      <c r="F58" s="67">
        <v>0.832</v>
      </c>
      <c r="G58" s="67">
        <v>0.754</v>
      </c>
      <c r="H58" s="67">
        <v>0.871</v>
      </c>
      <c r="I58" s="67">
        <v>17.0</v>
      </c>
      <c r="J58" s="35">
        <v>534.0</v>
      </c>
      <c r="K58" s="35">
        <v>4328.0</v>
      </c>
    </row>
    <row r="59" ht="25.5" customHeight="1">
      <c r="A59" s="5"/>
      <c r="B59" s="5"/>
      <c r="C59" s="34" t="s">
        <v>47</v>
      </c>
      <c r="D59" s="35" t="s">
        <v>56</v>
      </c>
      <c r="E59" s="66">
        <v>0.754</v>
      </c>
      <c r="F59" s="66">
        <v>0.811</v>
      </c>
      <c r="G59" s="66">
        <v>0.754</v>
      </c>
      <c r="H59" s="66">
        <v>0.946</v>
      </c>
      <c r="I59" s="66">
        <v>128.0</v>
      </c>
      <c r="J59" s="44">
        <v>543.0</v>
      </c>
      <c r="K59" s="44">
        <v>2196.0</v>
      </c>
    </row>
    <row r="60" ht="27.75" customHeight="1">
      <c r="A60" s="5"/>
      <c r="B60" s="5"/>
      <c r="C60" s="34" t="s">
        <v>49</v>
      </c>
      <c r="D60" s="35" t="s">
        <v>56</v>
      </c>
      <c r="E60" s="35">
        <v>0.758</v>
      </c>
      <c r="F60" s="35">
        <v>0.791</v>
      </c>
      <c r="G60" s="35">
        <v>0.731</v>
      </c>
      <c r="H60" s="42">
        <v>0.976</v>
      </c>
      <c r="I60" s="35">
        <v>56.0</v>
      </c>
      <c r="J60" s="35">
        <v>84.0</v>
      </c>
      <c r="K60" s="35">
        <v>906.0</v>
      </c>
    </row>
    <row r="61" ht="27.75" customHeight="1">
      <c r="A61" s="5"/>
      <c r="B61" s="5"/>
      <c r="C61" s="34" t="s">
        <v>53</v>
      </c>
      <c r="D61" s="35" t="s">
        <v>56</v>
      </c>
      <c r="E61" s="35">
        <v>0.75</v>
      </c>
      <c r="F61" s="35">
        <v>0.791</v>
      </c>
      <c r="G61" s="35">
        <v>0.69</v>
      </c>
      <c r="H61" s="35">
        <v>0.97</v>
      </c>
      <c r="I61" s="35">
        <v>79.0</v>
      </c>
      <c r="J61" s="35">
        <v>84.0</v>
      </c>
      <c r="K61" s="35">
        <v>906.0</v>
      </c>
    </row>
    <row r="62" ht="27.75" customHeight="1">
      <c r="A62" s="5"/>
      <c r="B62" s="5"/>
      <c r="C62" s="34" t="s">
        <v>54</v>
      </c>
      <c r="D62" s="35" t="s">
        <v>56</v>
      </c>
      <c r="E62" s="66">
        <v>0.73</v>
      </c>
      <c r="F62" s="66">
        <v>0.811</v>
      </c>
      <c r="G62" s="66">
        <v>0.481</v>
      </c>
      <c r="H62" s="66">
        <v>0.945</v>
      </c>
      <c r="I62" s="66">
        <v>325.0</v>
      </c>
      <c r="J62" s="44">
        <v>545.0</v>
      </c>
      <c r="K62" s="44">
        <v>2196.0</v>
      </c>
    </row>
    <row r="63" ht="27.75" customHeight="1">
      <c r="A63" s="5"/>
      <c r="B63" s="5"/>
      <c r="C63" s="34" t="s">
        <v>55</v>
      </c>
      <c r="D63" s="35" t="s">
        <v>56</v>
      </c>
      <c r="E63" s="35">
        <v>0.753</v>
      </c>
      <c r="F63" s="35">
        <v>0.796</v>
      </c>
      <c r="G63" s="35">
        <v>0.792</v>
      </c>
      <c r="H63" s="35">
        <v>0.953</v>
      </c>
      <c r="I63" s="35">
        <v>15.0</v>
      </c>
      <c r="J63" s="35">
        <v>171.0</v>
      </c>
      <c r="K63" s="35">
        <v>884.0</v>
      </c>
    </row>
    <row r="64" ht="27.75" customHeight="1">
      <c r="A64" s="5"/>
      <c r="B64" s="5"/>
      <c r="C64" s="34" t="s">
        <v>34</v>
      </c>
      <c r="D64" s="35" t="s">
        <v>56</v>
      </c>
      <c r="E64" s="35">
        <v>0.752</v>
      </c>
      <c r="F64" s="35">
        <v>0.796</v>
      </c>
      <c r="G64" s="35">
        <v>0.73</v>
      </c>
      <c r="H64" s="35" t="s">
        <v>62</v>
      </c>
      <c r="I64" s="39">
        <v>16.0</v>
      </c>
      <c r="J64" s="35">
        <v>173.0</v>
      </c>
      <c r="K64" s="35">
        <v>884.0</v>
      </c>
    </row>
    <row r="65" ht="27.75" customHeight="1">
      <c r="A65" s="7"/>
      <c r="B65" s="7"/>
      <c r="C65" s="34" t="s">
        <v>70</v>
      </c>
      <c r="D65" s="35" t="s">
        <v>48</v>
      </c>
      <c r="E65" s="42">
        <v>0.699</v>
      </c>
      <c r="F65" s="42">
        <v>0.729</v>
      </c>
      <c r="G65" s="42">
        <v>0.903</v>
      </c>
      <c r="H65" s="42">
        <v>0.962</v>
      </c>
      <c r="I65" s="70">
        <v>12.0</v>
      </c>
      <c r="J65" s="70">
        <v>168.0</v>
      </c>
      <c r="K65" s="70">
        <v>1580.0</v>
      </c>
    </row>
    <row r="66" ht="27.75" customHeight="1">
      <c r="A66" s="36"/>
      <c r="B66" s="36"/>
      <c r="C66" s="34" t="s">
        <v>71</v>
      </c>
      <c r="D66" s="35" t="s">
        <v>72</v>
      </c>
      <c r="E66" s="42">
        <v>0.701</v>
      </c>
      <c r="F66" s="42">
        <v>0.733</v>
      </c>
      <c r="G66" s="42">
        <v>0.887</v>
      </c>
      <c r="H66" s="42">
        <v>0.962</v>
      </c>
      <c r="I66" s="70">
        <v>13.0</v>
      </c>
      <c r="J66" s="70">
        <v>171.0</v>
      </c>
      <c r="K66" s="70">
        <v>1559.0</v>
      </c>
    </row>
    <row r="67" ht="27.75" customHeight="1">
      <c r="A67" s="36"/>
      <c r="B67" s="36"/>
      <c r="C67" s="34" t="s">
        <v>73</v>
      </c>
      <c r="D67" s="35" t="s">
        <v>48</v>
      </c>
      <c r="E67" s="42">
        <v>0.744</v>
      </c>
      <c r="F67" s="35">
        <v>0.861</v>
      </c>
      <c r="G67" s="35">
        <v>0.726</v>
      </c>
      <c r="H67" s="35">
        <v>0.915</v>
      </c>
      <c r="I67" s="35">
        <v>34.0</v>
      </c>
      <c r="J67" s="35">
        <v>375.0</v>
      </c>
      <c r="K67" s="35">
        <v>652.0</v>
      </c>
    </row>
    <row r="68" ht="27.75" customHeight="1">
      <c r="A68" s="36"/>
      <c r="B68" s="36"/>
      <c r="C68" s="37"/>
      <c r="D68" s="38"/>
      <c r="E68" s="71"/>
      <c r="F68" s="38"/>
      <c r="G68" s="38"/>
      <c r="H68" s="38"/>
      <c r="I68" s="38"/>
      <c r="J68" s="38"/>
      <c r="K68" s="38"/>
    </row>
    <row r="69">
      <c r="A69" s="1" t="s">
        <v>0</v>
      </c>
      <c r="B69" s="1" t="s">
        <v>1</v>
      </c>
      <c r="C69" s="1" t="s">
        <v>3</v>
      </c>
      <c r="D69" s="1" t="s">
        <v>46</v>
      </c>
      <c r="E69" s="65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</row>
    <row r="70" ht="25.5" customHeight="1">
      <c r="A70" s="2" t="s">
        <v>11</v>
      </c>
      <c r="B70" s="2" t="s">
        <v>20</v>
      </c>
      <c r="C70" s="34" t="s">
        <v>54</v>
      </c>
      <c r="D70" s="35" t="s">
        <v>69</v>
      </c>
      <c r="E70" s="66">
        <v>0.691</v>
      </c>
      <c r="F70" s="67">
        <v>0.819</v>
      </c>
      <c r="G70" s="67">
        <v>0.483</v>
      </c>
      <c r="H70" s="67">
        <v>0.89</v>
      </c>
      <c r="I70" s="67">
        <v>318.0</v>
      </c>
      <c r="J70" s="35">
        <v>1182.0</v>
      </c>
      <c r="K70" s="35">
        <v>2101.0</v>
      </c>
    </row>
    <row r="71" ht="25.5" customHeight="1">
      <c r="A71" s="5"/>
      <c r="B71" s="5"/>
      <c r="C71" s="34" t="s">
        <v>53</v>
      </c>
      <c r="D71" s="35" t="s">
        <v>69</v>
      </c>
      <c r="E71" s="66">
        <v>0.619</v>
      </c>
      <c r="F71" s="67">
        <v>0.83</v>
      </c>
      <c r="G71" s="67">
        <v>0.65</v>
      </c>
      <c r="H71" s="67">
        <v>0.8</v>
      </c>
      <c r="I71" s="67">
        <v>164.0</v>
      </c>
      <c r="J71" s="35">
        <v>2292.0</v>
      </c>
      <c r="K71" s="35">
        <v>1979.0</v>
      </c>
    </row>
    <row r="72" ht="25.5" customHeight="1">
      <c r="A72" s="5"/>
      <c r="B72" s="5"/>
      <c r="C72" s="34" t="s">
        <v>47</v>
      </c>
      <c r="D72" s="35" t="s">
        <v>69</v>
      </c>
      <c r="E72" s="66">
        <v>0.697</v>
      </c>
      <c r="F72" s="67">
        <v>0.832</v>
      </c>
      <c r="G72" s="67">
        <v>0.682</v>
      </c>
      <c r="H72" s="67">
        <v>0.87</v>
      </c>
      <c r="I72" s="67">
        <v>127.0</v>
      </c>
      <c r="J72" s="35">
        <v>1447.0</v>
      </c>
      <c r="K72" s="35">
        <v>1997.0</v>
      </c>
    </row>
    <row r="73" ht="25.5" customHeight="1">
      <c r="A73" s="5"/>
      <c r="B73" s="5"/>
      <c r="C73" s="34" t="s">
        <v>49</v>
      </c>
      <c r="D73" s="35" t="s">
        <v>69</v>
      </c>
      <c r="E73" s="66" t="s">
        <v>74</v>
      </c>
      <c r="F73" s="67">
        <v>0.83</v>
      </c>
      <c r="G73" s="67">
        <v>0.63</v>
      </c>
      <c r="H73" s="67">
        <v>0.86</v>
      </c>
      <c r="I73" s="67">
        <v>130.0</v>
      </c>
      <c r="J73" s="35">
        <v>1460.0</v>
      </c>
      <c r="K73" s="35">
        <v>1929.0</v>
      </c>
    </row>
    <row r="74" ht="25.5" customHeight="1">
      <c r="A74" s="5"/>
      <c r="B74" s="5"/>
      <c r="C74" s="34" t="s">
        <v>55</v>
      </c>
      <c r="D74" s="35" t="s">
        <v>69</v>
      </c>
      <c r="E74" s="66">
        <v>0.736</v>
      </c>
      <c r="F74" s="67">
        <v>0.814</v>
      </c>
      <c r="G74" s="67">
        <v>0.74</v>
      </c>
      <c r="H74" s="67">
        <v>0.92</v>
      </c>
      <c r="I74" s="67">
        <v>99.0</v>
      </c>
      <c r="J74" s="35">
        <v>801.0</v>
      </c>
      <c r="K74" s="35">
        <v>2169.0</v>
      </c>
    </row>
    <row r="75" ht="25.5" customHeight="1">
      <c r="A75" s="5"/>
      <c r="B75" s="5"/>
      <c r="C75" s="34" t="s">
        <v>34</v>
      </c>
      <c r="D75" s="35" t="s">
        <v>69</v>
      </c>
      <c r="E75" s="67">
        <v>0.716</v>
      </c>
      <c r="F75" s="67">
        <v>0.817</v>
      </c>
      <c r="G75" s="67">
        <v>0.72</v>
      </c>
      <c r="H75" s="67">
        <v>0.898</v>
      </c>
      <c r="I75" s="67">
        <v>91.0</v>
      </c>
      <c r="J75" s="35">
        <v>1085.0</v>
      </c>
      <c r="K75" s="35">
        <v>2131.0</v>
      </c>
    </row>
    <row r="76" ht="25.5" customHeight="1">
      <c r="A76" s="5"/>
      <c r="B76" s="5"/>
      <c r="C76" s="34" t="s">
        <v>47</v>
      </c>
      <c r="D76" s="35" t="s">
        <v>56</v>
      </c>
      <c r="E76" s="66">
        <v>0.861</v>
      </c>
      <c r="F76" s="66">
        <v>0.901</v>
      </c>
      <c r="G76" s="66">
        <v>0.829</v>
      </c>
      <c r="H76" s="66">
        <v>0.96</v>
      </c>
      <c r="I76" s="66">
        <v>30.0</v>
      </c>
      <c r="J76" s="44">
        <v>311.0</v>
      </c>
      <c r="K76" s="44">
        <v>812.0</v>
      </c>
    </row>
    <row r="77" ht="27.75" customHeight="1">
      <c r="A77" s="5"/>
      <c r="B77" s="5"/>
      <c r="C77" s="34" t="s">
        <v>49</v>
      </c>
      <c r="D77" s="35" t="s">
        <v>56</v>
      </c>
      <c r="E77" s="44">
        <v>0.754</v>
      </c>
      <c r="F77" s="44">
        <v>0.81</v>
      </c>
      <c r="G77" s="45">
        <v>0.76</v>
      </c>
      <c r="H77" s="44">
        <v>0.946</v>
      </c>
      <c r="I77" s="44">
        <v>116.0</v>
      </c>
      <c r="J77" s="44">
        <v>539.0</v>
      </c>
      <c r="K77" s="44">
        <v>11636.0</v>
      </c>
    </row>
    <row r="78" ht="27.75" customHeight="1">
      <c r="A78" s="5"/>
      <c r="B78" s="5"/>
      <c r="C78" s="34" t="s">
        <v>53</v>
      </c>
      <c r="D78" s="35" t="s">
        <v>56</v>
      </c>
      <c r="E78" s="44">
        <v>0.749</v>
      </c>
      <c r="F78" s="44">
        <v>0.81</v>
      </c>
      <c r="G78" s="44">
        <v>0.64</v>
      </c>
      <c r="H78" s="44">
        <v>0.946</v>
      </c>
      <c r="I78" s="44">
        <v>181.0</v>
      </c>
      <c r="J78" s="44">
        <v>539.0</v>
      </c>
      <c r="K78" s="44">
        <v>2202.0</v>
      </c>
    </row>
    <row r="79" ht="27.75" customHeight="1">
      <c r="A79" s="5"/>
      <c r="B79" s="5"/>
      <c r="C79" s="34" t="s">
        <v>54</v>
      </c>
      <c r="D79" s="35" t="s">
        <v>56</v>
      </c>
      <c r="E79" s="66">
        <v>0.84</v>
      </c>
      <c r="F79" s="66">
        <v>0.901</v>
      </c>
      <c r="G79" s="66">
        <v>0.51</v>
      </c>
      <c r="H79" s="66">
        <v>0.96</v>
      </c>
      <c r="I79" s="66">
        <v>156.0</v>
      </c>
      <c r="J79" s="44">
        <v>312.0</v>
      </c>
      <c r="K79" s="44">
        <v>823.0</v>
      </c>
    </row>
    <row r="80" ht="27.75" customHeight="1">
      <c r="A80" s="5"/>
      <c r="B80" s="5"/>
      <c r="C80" s="34" t="s">
        <v>55</v>
      </c>
      <c r="D80" s="35" t="s">
        <v>56</v>
      </c>
      <c r="E80" s="44">
        <v>0.746</v>
      </c>
      <c r="F80" s="44">
        <v>0.81</v>
      </c>
      <c r="G80" s="45">
        <v>0.743</v>
      </c>
      <c r="H80" s="44">
        <v>0.935</v>
      </c>
      <c r="I80" s="44">
        <v>87.0</v>
      </c>
      <c r="J80" s="44">
        <v>659.0</v>
      </c>
      <c r="K80" s="44">
        <v>2212.0</v>
      </c>
    </row>
    <row r="81" ht="27.75" customHeight="1">
      <c r="A81" s="5"/>
      <c r="B81" s="5"/>
      <c r="C81" s="34" t="s">
        <v>34</v>
      </c>
      <c r="D81" s="35" t="s">
        <v>56</v>
      </c>
      <c r="E81" s="44">
        <v>0.746</v>
      </c>
      <c r="F81" s="44">
        <v>0.81</v>
      </c>
      <c r="G81" s="44">
        <v>0.71</v>
      </c>
      <c r="H81" s="44">
        <v>0.935</v>
      </c>
      <c r="I81" s="44">
        <v>88.0</v>
      </c>
      <c r="J81" s="44">
        <v>656.0</v>
      </c>
      <c r="K81" s="44">
        <v>2122.0</v>
      </c>
    </row>
    <row r="82" ht="27.75" customHeight="1">
      <c r="A82" s="7"/>
      <c r="B82" s="7"/>
      <c r="C82" s="34" t="s">
        <v>70</v>
      </c>
      <c r="D82" s="35" t="s">
        <v>48</v>
      </c>
      <c r="E82" s="42">
        <v>0.69</v>
      </c>
      <c r="F82" s="42">
        <v>0.745</v>
      </c>
      <c r="G82" s="42">
        <v>0.766</v>
      </c>
      <c r="H82" s="42">
        <v>0.944</v>
      </c>
      <c r="I82" s="70">
        <v>82.0</v>
      </c>
      <c r="J82" s="70">
        <v>634.0</v>
      </c>
      <c r="K82" s="70">
        <v>3619.0</v>
      </c>
    </row>
    <row r="83" ht="27.75" customHeight="1">
      <c r="A83" s="36"/>
      <c r="B83" s="36"/>
      <c r="C83" s="34" t="s">
        <v>71</v>
      </c>
      <c r="D83" s="35" t="s">
        <v>72</v>
      </c>
      <c r="E83" s="42">
        <v>0.658</v>
      </c>
      <c r="F83" s="42">
        <v>0.784</v>
      </c>
      <c r="G83" s="42">
        <v>0.829</v>
      </c>
      <c r="H83" s="42">
        <v>0.871</v>
      </c>
      <c r="I83" s="70">
        <v>136.0</v>
      </c>
      <c r="J83" s="70">
        <v>1649.0</v>
      </c>
      <c r="K83" s="70">
        <v>3070.0</v>
      </c>
    </row>
    <row r="84" ht="27.75" customHeight="1">
      <c r="A84" s="36"/>
      <c r="B84" s="36"/>
      <c r="C84" s="34" t="s">
        <v>73</v>
      </c>
      <c r="D84" s="35" t="s">
        <v>48</v>
      </c>
      <c r="E84" s="42">
        <v>0.627</v>
      </c>
      <c r="F84" s="35">
        <v>0.669</v>
      </c>
      <c r="G84" s="35">
        <v>0.73</v>
      </c>
      <c r="H84" s="35">
        <v>0.945</v>
      </c>
      <c r="I84" s="35">
        <v>37.0</v>
      </c>
      <c r="J84" s="35">
        <v>497.0</v>
      </c>
      <c r="K84" s="35">
        <v>4237.0</v>
      </c>
    </row>
    <row r="85" ht="27.75" customHeight="1">
      <c r="A85" s="36"/>
      <c r="B85" s="36"/>
      <c r="C85" s="37"/>
      <c r="D85" s="38"/>
      <c r="E85" s="71"/>
      <c r="F85" s="38"/>
      <c r="G85" s="38"/>
      <c r="H85" s="38"/>
      <c r="I85" s="38"/>
      <c r="J85" s="38"/>
      <c r="K85" s="38"/>
    </row>
    <row r="86">
      <c r="A86" s="1" t="s">
        <v>0</v>
      </c>
      <c r="B86" s="1" t="s">
        <v>1</v>
      </c>
      <c r="C86" s="1" t="s">
        <v>3</v>
      </c>
      <c r="D86" s="1" t="s">
        <v>46</v>
      </c>
      <c r="E86" s="65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</row>
    <row r="87" ht="25.5" customHeight="1">
      <c r="A87" s="2" t="s">
        <v>11</v>
      </c>
      <c r="B87" s="2" t="s">
        <v>21</v>
      </c>
      <c r="C87" s="34" t="s">
        <v>54</v>
      </c>
      <c r="D87" s="35" t="s">
        <v>69</v>
      </c>
      <c r="E87" s="66">
        <v>0.776</v>
      </c>
      <c r="F87" s="67">
        <v>0.908</v>
      </c>
      <c r="G87" s="35">
        <v>0.529</v>
      </c>
      <c r="H87" s="35">
        <v>0.885</v>
      </c>
      <c r="I87" s="67">
        <v>125.0</v>
      </c>
      <c r="J87" s="35">
        <v>981.0</v>
      </c>
      <c r="K87" s="35">
        <v>786.0</v>
      </c>
    </row>
    <row r="88" ht="25.5" customHeight="1">
      <c r="A88" s="5"/>
      <c r="B88" s="5"/>
      <c r="C88" s="34" t="s">
        <v>53</v>
      </c>
      <c r="D88" s="35" t="s">
        <v>69</v>
      </c>
      <c r="E88" s="66">
        <v>0.708</v>
      </c>
      <c r="F88" s="67">
        <v>0.91</v>
      </c>
      <c r="G88" s="35">
        <v>0.85</v>
      </c>
      <c r="H88" s="35">
        <v>0.81</v>
      </c>
      <c r="I88" s="67">
        <v>29.0</v>
      </c>
      <c r="J88" s="35">
        <v>1719.0</v>
      </c>
      <c r="K88" s="35">
        <v>685.0</v>
      </c>
    </row>
    <row r="89" ht="25.5" customHeight="1">
      <c r="A89" s="5"/>
      <c r="B89" s="5"/>
      <c r="C89" s="34" t="s">
        <v>47</v>
      </c>
      <c r="D89" s="35" t="s">
        <v>69</v>
      </c>
      <c r="E89" s="66">
        <v>0.79</v>
      </c>
      <c r="F89" s="67">
        <v>0.92</v>
      </c>
      <c r="G89" s="35">
        <v>0.72</v>
      </c>
      <c r="H89" s="35">
        <v>0.88</v>
      </c>
      <c r="I89" s="67">
        <v>27.0</v>
      </c>
      <c r="J89" s="35">
        <v>1028.0</v>
      </c>
      <c r="K89" s="35">
        <v>671.0</v>
      </c>
    </row>
    <row r="90" ht="25.5" customHeight="1">
      <c r="A90" s="5"/>
      <c r="B90" s="5"/>
      <c r="C90" s="34" t="s">
        <v>49</v>
      </c>
      <c r="D90" s="35" t="s">
        <v>69</v>
      </c>
      <c r="E90" s="66">
        <v>0.79</v>
      </c>
      <c r="F90" s="67">
        <v>0.92</v>
      </c>
      <c r="G90" s="35">
        <v>0.72</v>
      </c>
      <c r="H90" s="35" t="s">
        <v>58</v>
      </c>
      <c r="I90" s="67">
        <v>26.0</v>
      </c>
      <c r="J90" s="35">
        <v>1055.0</v>
      </c>
      <c r="K90" s="35">
        <v>654.0</v>
      </c>
    </row>
    <row r="91" ht="25.5" customHeight="1">
      <c r="A91" s="5"/>
      <c r="B91" s="5"/>
      <c r="C91" s="34" t="s">
        <v>55</v>
      </c>
      <c r="D91" s="35" t="s">
        <v>69</v>
      </c>
      <c r="E91" s="68">
        <v>0.82</v>
      </c>
      <c r="F91" s="67">
        <v>0.9</v>
      </c>
      <c r="G91" s="35">
        <v>0.84</v>
      </c>
      <c r="H91" s="35">
        <v>0.92</v>
      </c>
      <c r="I91" s="67">
        <v>27.0</v>
      </c>
      <c r="J91" s="35">
        <v>758.0</v>
      </c>
      <c r="K91" s="35">
        <v>655.0</v>
      </c>
    </row>
    <row r="92" ht="25.5" customHeight="1">
      <c r="A92" s="5"/>
      <c r="B92" s="5"/>
      <c r="C92" s="34" t="s">
        <v>34</v>
      </c>
      <c r="D92" s="35" t="s">
        <v>69</v>
      </c>
      <c r="E92" s="67">
        <v>0.829</v>
      </c>
      <c r="F92" s="67">
        <v>0.912</v>
      </c>
      <c r="G92" s="35">
        <v>0.86</v>
      </c>
      <c r="H92" s="35">
        <v>0.918</v>
      </c>
      <c r="I92" s="67">
        <v>15.0</v>
      </c>
      <c r="J92" s="35">
        <v>682.0</v>
      </c>
      <c r="K92" s="35">
        <v>733.0</v>
      </c>
    </row>
    <row r="93" ht="25.5" customHeight="1">
      <c r="A93" s="5"/>
      <c r="B93" s="5"/>
      <c r="C93" s="34" t="s">
        <v>47</v>
      </c>
      <c r="D93" s="35" t="s">
        <v>56</v>
      </c>
      <c r="E93" s="66">
        <v>0.861</v>
      </c>
      <c r="F93" s="66">
        <v>0.901</v>
      </c>
      <c r="G93" s="44">
        <v>0.829</v>
      </c>
      <c r="H93" s="44">
        <v>0.96</v>
      </c>
      <c r="I93" s="66">
        <v>30.0</v>
      </c>
      <c r="J93" s="44">
        <v>311.0</v>
      </c>
      <c r="K93" s="44">
        <v>812.0</v>
      </c>
    </row>
    <row r="94" ht="27.75" customHeight="1">
      <c r="A94" s="5"/>
      <c r="B94" s="5"/>
      <c r="C94" s="34" t="s">
        <v>49</v>
      </c>
      <c r="D94" s="35" t="s">
        <v>56</v>
      </c>
      <c r="E94" s="44">
        <v>0.861</v>
      </c>
      <c r="F94" s="44">
        <v>0.901</v>
      </c>
      <c r="G94" s="44">
        <v>0.85</v>
      </c>
      <c r="H94" s="44">
        <v>0.96</v>
      </c>
      <c r="I94" s="44">
        <v>27.0</v>
      </c>
      <c r="J94" s="44">
        <v>311.0</v>
      </c>
      <c r="K94" s="44">
        <v>824.0</v>
      </c>
    </row>
    <row r="95" ht="27.75" customHeight="1">
      <c r="A95" s="5"/>
      <c r="B95" s="5"/>
      <c r="C95" s="34" t="s">
        <v>53</v>
      </c>
      <c r="D95" s="35" t="s">
        <v>56</v>
      </c>
      <c r="E95" s="44">
        <v>0.85</v>
      </c>
      <c r="F95" s="44">
        <v>0.901</v>
      </c>
      <c r="G95" s="44">
        <v>0.75</v>
      </c>
      <c r="H95" s="44">
        <v>0.96</v>
      </c>
      <c r="I95" s="44">
        <v>44.0</v>
      </c>
      <c r="J95" s="44">
        <v>313.0</v>
      </c>
      <c r="K95" s="44">
        <v>824.0</v>
      </c>
    </row>
    <row r="96" ht="27.75" customHeight="1">
      <c r="A96" s="5"/>
      <c r="B96" s="5"/>
      <c r="C96" s="34" t="s">
        <v>54</v>
      </c>
      <c r="D96" s="35" t="s">
        <v>56</v>
      </c>
      <c r="E96" s="66">
        <v>0.84</v>
      </c>
      <c r="F96" s="66">
        <v>0.901</v>
      </c>
      <c r="G96" s="44" t="s">
        <v>41</v>
      </c>
      <c r="H96" s="44">
        <v>0.96</v>
      </c>
      <c r="I96" s="66">
        <v>156.0</v>
      </c>
      <c r="J96" s="44">
        <v>312.0</v>
      </c>
      <c r="K96" s="44">
        <v>823.0</v>
      </c>
    </row>
    <row r="97" ht="27.75" customHeight="1">
      <c r="A97" s="5"/>
      <c r="B97" s="5"/>
      <c r="C97" s="34" t="s">
        <v>55</v>
      </c>
      <c r="D97" s="35" t="s">
        <v>56</v>
      </c>
      <c r="E97" s="44">
        <v>0.85</v>
      </c>
      <c r="F97" s="44">
        <v>0.904</v>
      </c>
      <c r="G97" s="44">
        <v>0.877</v>
      </c>
      <c r="H97" s="44">
        <v>0.953</v>
      </c>
      <c r="I97" s="44">
        <v>12.0</v>
      </c>
      <c r="J97" s="44">
        <v>27.0</v>
      </c>
      <c r="K97" s="44">
        <v>1474.0</v>
      </c>
    </row>
    <row r="98" ht="27.75" customHeight="1">
      <c r="A98" s="5"/>
      <c r="B98" s="5"/>
      <c r="C98" s="34" t="s">
        <v>34</v>
      </c>
      <c r="D98" s="35" t="s">
        <v>56</v>
      </c>
      <c r="E98" s="44">
        <v>0.85</v>
      </c>
      <c r="F98" s="44">
        <v>0.901</v>
      </c>
      <c r="G98" s="44">
        <v>0.83</v>
      </c>
      <c r="H98" s="44" t="s">
        <v>63</v>
      </c>
      <c r="I98" s="44">
        <v>15.0</v>
      </c>
      <c r="J98" s="44">
        <v>401.0</v>
      </c>
      <c r="K98" s="44">
        <v>426.0</v>
      </c>
    </row>
    <row r="99" ht="27.75" customHeight="1">
      <c r="A99" s="7"/>
      <c r="B99" s="7"/>
      <c r="C99" s="34" t="s">
        <v>70</v>
      </c>
      <c r="D99" s="35" t="s">
        <v>48</v>
      </c>
      <c r="E99" s="42">
        <v>0.782</v>
      </c>
      <c r="F99" s="42">
        <v>0.825</v>
      </c>
      <c r="G99" s="42">
        <v>0.902</v>
      </c>
      <c r="H99" s="42">
        <v>0.951</v>
      </c>
      <c r="I99" s="70">
        <v>9.0</v>
      </c>
      <c r="J99" s="70">
        <v>401.0</v>
      </c>
      <c r="K99" s="70">
        <v>1169.0</v>
      </c>
    </row>
    <row r="100" ht="27.75" customHeight="1">
      <c r="A100" s="36"/>
      <c r="B100" s="36"/>
      <c r="C100" s="34" t="s">
        <v>71</v>
      </c>
      <c r="D100" s="35" t="s">
        <v>72</v>
      </c>
      <c r="E100" s="42">
        <v>0.769</v>
      </c>
      <c r="F100" s="42">
        <v>0.824</v>
      </c>
      <c r="G100" s="42">
        <v>0.904</v>
      </c>
      <c r="H100" s="42">
        <v>0.938</v>
      </c>
      <c r="I100" s="70">
        <v>4.0</v>
      </c>
      <c r="J100" s="70">
        <v>522.0</v>
      </c>
      <c r="K100" s="70">
        <v>1671.0</v>
      </c>
    </row>
    <row r="101" ht="27.75" customHeight="1">
      <c r="A101" s="36"/>
      <c r="B101" s="36"/>
      <c r="C101" s="34" t="s">
        <v>73</v>
      </c>
      <c r="D101" s="35" t="s">
        <v>48</v>
      </c>
      <c r="E101" s="42">
        <v>0.834</v>
      </c>
      <c r="F101" s="35">
        <v>0.899</v>
      </c>
      <c r="G101" s="35">
        <v>0.885</v>
      </c>
      <c r="H101" s="35">
        <v>0.934</v>
      </c>
      <c r="I101" s="35">
        <v>7.0</v>
      </c>
      <c r="J101" s="35">
        <v>445.0</v>
      </c>
      <c r="K101" s="35">
        <v>704.0</v>
      </c>
    </row>
    <row r="102" ht="27.75" customHeight="1">
      <c r="A102" s="36"/>
      <c r="B102" s="36"/>
      <c r="C102" s="37"/>
      <c r="D102" s="38"/>
      <c r="E102" s="71"/>
      <c r="F102" s="38"/>
      <c r="G102" s="38"/>
      <c r="H102" s="38"/>
      <c r="I102" s="38"/>
      <c r="J102" s="38"/>
      <c r="K102" s="38"/>
    </row>
    <row r="103">
      <c r="A103" s="1" t="s">
        <v>0</v>
      </c>
      <c r="B103" s="1" t="s">
        <v>1</v>
      </c>
      <c r="C103" s="1" t="s">
        <v>3</v>
      </c>
      <c r="D103" s="1" t="s">
        <v>46</v>
      </c>
      <c r="E103" s="65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</row>
    <row r="104" ht="25.5" customHeight="1">
      <c r="A104" s="2" t="s">
        <v>11</v>
      </c>
      <c r="B104" s="2" t="s">
        <v>22</v>
      </c>
      <c r="C104" s="34" t="s">
        <v>54</v>
      </c>
      <c r="D104" s="35" t="s">
        <v>69</v>
      </c>
      <c r="E104" s="66">
        <v>0.59</v>
      </c>
      <c r="F104" s="67">
        <v>0.78</v>
      </c>
      <c r="G104" s="35">
        <v>0.49</v>
      </c>
      <c r="H104" s="35">
        <v>0.85</v>
      </c>
      <c r="I104" s="70">
        <v>587.0</v>
      </c>
      <c r="J104" s="35">
        <v>1607.0</v>
      </c>
      <c r="K104" s="35">
        <v>2439.0</v>
      </c>
    </row>
    <row r="105" ht="25.5" customHeight="1">
      <c r="A105" s="5"/>
      <c r="B105" s="5"/>
      <c r="C105" s="34" t="s">
        <v>53</v>
      </c>
      <c r="D105" s="35" t="s">
        <v>69</v>
      </c>
      <c r="E105" s="66">
        <v>0.479</v>
      </c>
      <c r="F105" s="67">
        <v>0.79</v>
      </c>
      <c r="G105" s="35">
        <v>0.568</v>
      </c>
      <c r="H105" s="35">
        <v>0.744</v>
      </c>
      <c r="I105" s="70">
        <v>503.0</v>
      </c>
      <c r="J105" s="35">
        <v>3154.0</v>
      </c>
      <c r="K105" s="35">
        <v>2348.0</v>
      </c>
    </row>
    <row r="106" ht="25.5" customHeight="1">
      <c r="A106" s="5"/>
      <c r="B106" s="5"/>
      <c r="C106" s="34" t="s">
        <v>47</v>
      </c>
      <c r="D106" s="35" t="s">
        <v>69</v>
      </c>
      <c r="E106" s="66">
        <v>0.617</v>
      </c>
      <c r="F106" s="67">
        <v>0.79</v>
      </c>
      <c r="G106" s="35">
        <v>0.71</v>
      </c>
      <c r="H106" s="35" t="s">
        <v>37</v>
      </c>
      <c r="I106" s="70">
        <v>259.0</v>
      </c>
      <c r="J106" s="35">
        <v>1838.0</v>
      </c>
      <c r="K106" s="35">
        <v>2319.0</v>
      </c>
    </row>
    <row r="107" ht="25.5" customHeight="1">
      <c r="A107" s="5"/>
      <c r="B107" s="5"/>
      <c r="C107" s="34" t="s">
        <v>49</v>
      </c>
      <c r="D107" s="35" t="s">
        <v>69</v>
      </c>
      <c r="E107" s="66">
        <v>0.582</v>
      </c>
      <c r="F107" s="67">
        <v>0.8</v>
      </c>
      <c r="G107" s="35">
        <v>0.61</v>
      </c>
      <c r="H107" s="35">
        <v>0.81</v>
      </c>
      <c r="I107" s="70">
        <v>475.0</v>
      </c>
      <c r="J107" s="35">
        <v>2040.0</v>
      </c>
      <c r="K107" s="35">
        <v>2304.0</v>
      </c>
    </row>
    <row r="108" ht="25.5" customHeight="1">
      <c r="A108" s="5"/>
      <c r="B108" s="5"/>
      <c r="C108" s="34" t="s">
        <v>55</v>
      </c>
      <c r="D108" s="35" t="s">
        <v>69</v>
      </c>
      <c r="E108" s="68">
        <v>0.676</v>
      </c>
      <c r="F108" s="67">
        <v>0.77</v>
      </c>
      <c r="G108" s="35">
        <v>0.79</v>
      </c>
      <c r="H108" s="35">
        <v>0.9</v>
      </c>
      <c r="I108" s="70">
        <v>211.0</v>
      </c>
      <c r="J108" s="35">
        <v>976.0</v>
      </c>
      <c r="K108" s="35">
        <v>2551.0</v>
      </c>
    </row>
    <row r="109" ht="25.5" customHeight="1">
      <c r="A109" s="5"/>
      <c r="B109" s="5"/>
      <c r="C109" s="34" t="s">
        <v>34</v>
      </c>
      <c r="D109" s="35" t="s">
        <v>69</v>
      </c>
      <c r="E109" s="67">
        <v>0.48</v>
      </c>
      <c r="F109" s="67">
        <v>0.784</v>
      </c>
      <c r="G109" s="35">
        <v>0.55</v>
      </c>
      <c r="H109" s="35">
        <v>0.73</v>
      </c>
      <c r="I109" s="70">
        <v>201.0</v>
      </c>
      <c r="J109" s="35">
        <v>3302.0</v>
      </c>
      <c r="K109" s="35">
        <v>2491.0</v>
      </c>
    </row>
    <row r="110" ht="25.5" customHeight="1">
      <c r="A110" s="5"/>
      <c r="B110" s="5"/>
      <c r="C110" s="34" t="s">
        <v>47</v>
      </c>
      <c r="D110" s="35" t="s">
        <v>56</v>
      </c>
      <c r="E110" s="66">
        <v>0.702</v>
      </c>
      <c r="F110" s="66">
        <v>0.778</v>
      </c>
      <c r="G110" s="44">
        <v>0.755</v>
      </c>
      <c r="H110" s="44">
        <v>0.955</v>
      </c>
      <c r="I110" s="74">
        <v>319.0</v>
      </c>
      <c r="J110" s="44">
        <v>565.0</v>
      </c>
      <c r="K110" s="44">
        <v>2556.0</v>
      </c>
    </row>
    <row r="111" ht="27.75" customHeight="1">
      <c r="A111" s="5"/>
      <c r="B111" s="5"/>
      <c r="C111" s="34" t="s">
        <v>49</v>
      </c>
      <c r="D111" s="35" t="s">
        <v>56</v>
      </c>
      <c r="E111" s="44">
        <v>0.703</v>
      </c>
      <c r="F111" s="44">
        <v>0.776</v>
      </c>
      <c r="G111" s="44">
        <v>0.785</v>
      </c>
      <c r="H111" s="44">
        <v>0.944</v>
      </c>
      <c r="I111" s="74">
        <v>303.0</v>
      </c>
      <c r="J111" s="44">
        <v>532.0</v>
      </c>
      <c r="K111" s="44">
        <v>2558.0</v>
      </c>
    </row>
    <row r="112" ht="27.75" customHeight="1">
      <c r="A112" s="5"/>
      <c r="B112" s="5"/>
      <c r="C112" s="34" t="s">
        <v>53</v>
      </c>
      <c r="D112" s="35" t="s">
        <v>56</v>
      </c>
      <c r="E112" s="48">
        <v>0.69</v>
      </c>
      <c r="F112" s="44">
        <v>0.776</v>
      </c>
      <c r="G112" s="44">
        <v>0.69</v>
      </c>
      <c r="H112" s="44">
        <v>0.94</v>
      </c>
      <c r="I112" s="74">
        <v>414.0</v>
      </c>
      <c r="J112" s="44">
        <v>541.0</v>
      </c>
      <c r="K112" s="44">
        <v>2584.0</v>
      </c>
    </row>
    <row r="113" ht="27.75" customHeight="1">
      <c r="A113" s="5"/>
      <c r="B113" s="5"/>
      <c r="C113" s="34" t="s">
        <v>54</v>
      </c>
      <c r="D113" s="35" t="s">
        <v>56</v>
      </c>
      <c r="E113" s="75">
        <v>0.67</v>
      </c>
      <c r="F113" s="66">
        <v>0.778</v>
      </c>
      <c r="G113" s="44">
        <v>0.48</v>
      </c>
      <c r="H113" s="44">
        <v>0.94</v>
      </c>
      <c r="I113" s="74">
        <v>651.0</v>
      </c>
      <c r="J113" s="44">
        <v>574.0</v>
      </c>
      <c r="K113" s="44">
        <v>2561.0</v>
      </c>
    </row>
    <row r="114" ht="27.75" customHeight="1">
      <c r="A114" s="5"/>
      <c r="B114" s="5"/>
      <c r="C114" s="34" t="s">
        <v>55</v>
      </c>
      <c r="D114" s="35" t="s">
        <v>56</v>
      </c>
      <c r="E114" s="44">
        <v>0.71</v>
      </c>
      <c r="F114" s="44">
        <v>0.759</v>
      </c>
      <c r="G114" s="44">
        <v>0.72</v>
      </c>
      <c r="H114" s="44">
        <v>0.945</v>
      </c>
      <c r="I114" s="74">
        <v>182.0</v>
      </c>
      <c r="J114" s="44">
        <v>509.0</v>
      </c>
      <c r="K114" s="44">
        <v>2778.0</v>
      </c>
    </row>
    <row r="115" ht="27.75" customHeight="1">
      <c r="A115" s="5"/>
      <c r="B115" s="5"/>
      <c r="C115" s="34" t="s">
        <v>34</v>
      </c>
      <c r="D115" s="35" t="s">
        <v>56</v>
      </c>
      <c r="E115" s="44">
        <v>0.701</v>
      </c>
      <c r="F115" s="44">
        <v>0.768</v>
      </c>
      <c r="G115" s="44">
        <v>0.6</v>
      </c>
      <c r="H115" s="44">
        <v>0.94</v>
      </c>
      <c r="I115" s="74">
        <v>176.0</v>
      </c>
      <c r="J115" s="44">
        <v>529.0</v>
      </c>
      <c r="K115" s="44">
        <v>2676.0</v>
      </c>
    </row>
    <row r="116" ht="27.75" customHeight="1">
      <c r="A116" s="7"/>
      <c r="B116" s="7"/>
      <c r="C116" s="34" t="s">
        <v>70</v>
      </c>
      <c r="D116" s="35" t="s">
        <v>48</v>
      </c>
      <c r="E116" s="42">
        <v>0.738</v>
      </c>
      <c r="F116" s="42">
        <v>0.8</v>
      </c>
      <c r="G116" s="42">
        <v>0.868</v>
      </c>
      <c r="H116" s="42">
        <v>0.937</v>
      </c>
      <c r="I116" s="70">
        <v>98.0</v>
      </c>
      <c r="J116" s="70">
        <v>622.0</v>
      </c>
      <c r="K116" s="70">
        <v>2326.0</v>
      </c>
    </row>
    <row r="117" ht="27.75" customHeight="1">
      <c r="A117" s="36"/>
      <c r="B117" s="36"/>
      <c r="C117" s="34" t="s">
        <v>71</v>
      </c>
      <c r="D117" s="35" t="s">
        <v>72</v>
      </c>
      <c r="E117" s="42">
        <v>0.694</v>
      </c>
      <c r="F117" s="42">
        <v>0.855</v>
      </c>
      <c r="G117" s="42">
        <v>0.856</v>
      </c>
      <c r="H117" s="42">
        <v>0.851</v>
      </c>
      <c r="I117" s="70">
        <v>127.0</v>
      </c>
      <c r="J117" s="70">
        <v>1747.0</v>
      </c>
      <c r="K117" s="70">
        <v>1685.0</v>
      </c>
    </row>
    <row r="118" ht="27.75" customHeight="1">
      <c r="A118" s="36"/>
      <c r="B118" s="36"/>
      <c r="C118" s="34" t="s">
        <v>73</v>
      </c>
      <c r="D118" s="35" t="s">
        <v>48</v>
      </c>
      <c r="E118" s="42">
        <v>0.534</v>
      </c>
      <c r="F118" s="35"/>
      <c r="G118" s="35"/>
      <c r="H118" s="35"/>
      <c r="I118" s="35">
        <v>253.0</v>
      </c>
      <c r="J118" s="35"/>
      <c r="K118" s="35"/>
    </row>
    <row r="119" ht="27.75" customHeight="1">
      <c r="A119" s="36"/>
      <c r="B119" s="36"/>
      <c r="C119" s="37"/>
      <c r="D119" s="38"/>
      <c r="E119" s="71"/>
      <c r="F119" s="38"/>
      <c r="G119" s="38"/>
      <c r="H119" s="38"/>
      <c r="I119" s="38"/>
      <c r="J119" s="38"/>
      <c r="K119" s="38"/>
    </row>
    <row r="120">
      <c r="C120" s="1" t="s">
        <v>3</v>
      </c>
      <c r="D120" s="1" t="s">
        <v>46</v>
      </c>
      <c r="E120" s="65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</row>
    <row r="121" ht="32.25" customHeight="1">
      <c r="C121" s="34" t="s">
        <v>54</v>
      </c>
      <c r="D121" s="35" t="s">
        <v>69</v>
      </c>
      <c r="E121" s="76">
        <f t="shared" ref="E121:E135" si="1">average(E2,E19,E36,E53,E70,E87,E104)</f>
        <v>0.6311428571</v>
      </c>
      <c r="F121" s="67">
        <f t="shared" ref="F121:F135" si="2">average(F2,F19,F70,F87,F104)</f>
        <v>0.7854</v>
      </c>
      <c r="G121" s="77">
        <f t="shared" ref="G121:G135" si="3">average(G2,G19,G53,G70,G87,G104)</f>
        <v>0.5086666667</v>
      </c>
      <c r="H121" s="77">
        <f t="shared" ref="H121:H135" si="4">average(H2,H19,H36,H53,H70,H87,H104)</f>
        <v>0.8598571429</v>
      </c>
      <c r="I121" s="70">
        <f t="shared" ref="I121:I135" si="5">SUM(I2,I19,I36,I70,I87,I104)</f>
        <v>2023</v>
      </c>
      <c r="J121" s="35">
        <f t="shared" ref="J121:J135" si="6">SUM(J2,J53,J70,J87,J104)</f>
        <v>5199</v>
      </c>
      <c r="K121" s="78">
        <f t="shared" ref="K121:K135" si="7">SUM(K2,K19,K36,K53,K70,K87,K104)</f>
        <v>23928</v>
      </c>
    </row>
    <row r="122" ht="30.75" customHeight="1">
      <c r="C122" s="34" t="s">
        <v>53</v>
      </c>
      <c r="D122" s="35" t="s">
        <v>69</v>
      </c>
      <c r="E122" s="76">
        <f t="shared" si="1"/>
        <v>0.559</v>
      </c>
      <c r="F122" s="67">
        <f t="shared" si="2"/>
        <v>0.7978</v>
      </c>
      <c r="G122" s="77">
        <f t="shared" si="3"/>
        <v>0.6961666667</v>
      </c>
      <c r="H122" s="77">
        <f t="shared" si="4"/>
        <v>0.7751666667</v>
      </c>
      <c r="I122" s="70">
        <f t="shared" si="5"/>
        <v>1166</v>
      </c>
      <c r="J122" s="35">
        <f t="shared" si="6"/>
        <v>9645</v>
      </c>
      <c r="K122" s="78">
        <f t="shared" si="7"/>
        <v>22651</v>
      </c>
    </row>
    <row r="123" ht="32.25" customHeight="1">
      <c r="C123" s="34" t="s">
        <v>47</v>
      </c>
      <c r="D123" s="35" t="s">
        <v>69</v>
      </c>
      <c r="E123" s="76">
        <f t="shared" si="1"/>
        <v>0.659</v>
      </c>
      <c r="F123" s="67">
        <f t="shared" si="2"/>
        <v>0.7986</v>
      </c>
      <c r="G123" s="77">
        <f t="shared" si="3"/>
        <v>0.7038333333</v>
      </c>
      <c r="H123" s="77">
        <f t="shared" si="4"/>
        <v>0.8618333333</v>
      </c>
      <c r="I123" s="70">
        <f t="shared" si="5"/>
        <v>764</v>
      </c>
      <c r="J123" s="35">
        <f t="shared" si="6"/>
        <v>5683</v>
      </c>
      <c r="K123" s="78">
        <f t="shared" si="7"/>
        <v>22766</v>
      </c>
    </row>
    <row r="124" ht="33.0" customHeight="1">
      <c r="C124" s="34" t="s">
        <v>49</v>
      </c>
      <c r="D124" s="35" t="s">
        <v>69</v>
      </c>
      <c r="E124" s="76">
        <f t="shared" si="1"/>
        <v>0.6423333333</v>
      </c>
      <c r="F124" s="67">
        <f t="shared" si="2"/>
        <v>0.8008</v>
      </c>
      <c r="G124" s="77">
        <f t="shared" si="3"/>
        <v>0.671</v>
      </c>
      <c r="H124" s="77">
        <f t="shared" si="4"/>
        <v>0.8438333333</v>
      </c>
      <c r="I124" s="70">
        <f t="shared" si="5"/>
        <v>1021</v>
      </c>
      <c r="J124" s="35">
        <f t="shared" si="6"/>
        <v>6144</v>
      </c>
      <c r="K124" s="78">
        <f t="shared" si="7"/>
        <v>22663</v>
      </c>
    </row>
    <row r="125" ht="30.75" customHeight="1">
      <c r="C125" s="34" t="s">
        <v>55</v>
      </c>
      <c r="D125" s="35" t="s">
        <v>69</v>
      </c>
      <c r="E125" s="76">
        <f t="shared" si="1"/>
        <v>0.6842857143</v>
      </c>
      <c r="F125" s="67">
        <f t="shared" si="2"/>
        <v>0.7888</v>
      </c>
      <c r="G125" s="77">
        <f t="shared" si="3"/>
        <v>0.7783333333</v>
      </c>
      <c r="H125" s="77">
        <f t="shared" si="4"/>
        <v>0.8827142857</v>
      </c>
      <c r="I125" s="70">
        <f t="shared" si="5"/>
        <v>549</v>
      </c>
      <c r="J125" s="35">
        <f t="shared" si="6"/>
        <v>4338</v>
      </c>
      <c r="K125" s="78">
        <f t="shared" si="7"/>
        <v>11032.534</v>
      </c>
    </row>
    <row r="126" ht="30.75" customHeight="1">
      <c r="C126" s="34" t="s">
        <v>34</v>
      </c>
      <c r="D126" s="35" t="s">
        <v>69</v>
      </c>
      <c r="E126" s="76">
        <f t="shared" si="1"/>
        <v>0.641</v>
      </c>
      <c r="F126" s="67">
        <f t="shared" si="2"/>
        <v>0.8046</v>
      </c>
      <c r="G126" s="77">
        <f t="shared" si="3"/>
        <v>0.7293333333</v>
      </c>
      <c r="H126" s="77">
        <f t="shared" si="4"/>
        <v>0.8517142857</v>
      </c>
      <c r="I126" s="70">
        <f t="shared" si="5"/>
        <v>525</v>
      </c>
      <c r="J126" s="35">
        <f t="shared" si="6"/>
        <v>6132</v>
      </c>
      <c r="K126" s="78">
        <f t="shared" si="7"/>
        <v>24816</v>
      </c>
    </row>
    <row r="127" ht="30.0" customHeight="1">
      <c r="C127" s="34" t="s">
        <v>47</v>
      </c>
      <c r="D127" s="35" t="s">
        <v>56</v>
      </c>
      <c r="E127" s="76">
        <f t="shared" si="1"/>
        <v>0.7345714286</v>
      </c>
      <c r="F127" s="67">
        <f t="shared" si="2"/>
        <v>0.796</v>
      </c>
      <c r="G127" s="77">
        <f t="shared" si="3"/>
        <v>0.7828333333</v>
      </c>
      <c r="H127" s="77">
        <f t="shared" si="4"/>
        <v>0.9378571429</v>
      </c>
      <c r="I127" s="70">
        <f t="shared" si="5"/>
        <v>761</v>
      </c>
      <c r="J127" s="35">
        <f t="shared" si="6"/>
        <v>2042</v>
      </c>
      <c r="K127" s="78">
        <f t="shared" si="7"/>
        <v>24585</v>
      </c>
    </row>
    <row r="128" ht="31.5" customHeight="1">
      <c r="C128" s="34" t="s">
        <v>49</v>
      </c>
      <c r="D128" s="44" t="s">
        <v>56</v>
      </c>
      <c r="E128" s="76">
        <f t="shared" si="1"/>
        <v>0.7204285714</v>
      </c>
      <c r="F128" s="77">
        <f t="shared" si="2"/>
        <v>0.829</v>
      </c>
      <c r="G128" s="77">
        <f t="shared" si="3"/>
        <v>0.7815</v>
      </c>
      <c r="H128" s="77">
        <f t="shared" si="4"/>
        <v>0.949</v>
      </c>
      <c r="I128" s="70">
        <f t="shared" si="5"/>
        <v>789</v>
      </c>
      <c r="J128" s="35">
        <f t="shared" si="6"/>
        <v>1770</v>
      </c>
      <c r="K128" s="78">
        <f t="shared" si="7"/>
        <v>34151</v>
      </c>
    </row>
    <row r="129" ht="33.75" customHeight="1">
      <c r="C129" s="34" t="s">
        <v>53</v>
      </c>
      <c r="D129" s="44" t="s">
        <v>56</v>
      </c>
      <c r="E129" s="76">
        <f t="shared" si="1"/>
        <v>0.7114285714</v>
      </c>
      <c r="F129" s="77">
        <f t="shared" si="2"/>
        <v>0.7774</v>
      </c>
      <c r="G129" s="77">
        <f t="shared" si="3"/>
        <v>0.6933333333</v>
      </c>
      <c r="H129" s="77">
        <f t="shared" si="4"/>
        <v>0.9405</v>
      </c>
      <c r="I129" s="70">
        <f t="shared" si="5"/>
        <v>1207</v>
      </c>
      <c r="J129" s="35">
        <f t="shared" si="6"/>
        <v>1778</v>
      </c>
      <c r="K129" s="78">
        <f t="shared" si="7"/>
        <v>24745</v>
      </c>
    </row>
    <row r="130" ht="32.25" customHeight="1">
      <c r="C130" s="34" t="s">
        <v>54</v>
      </c>
      <c r="D130" s="35" t="s">
        <v>56</v>
      </c>
      <c r="E130" s="76">
        <f t="shared" si="1"/>
        <v>0.722</v>
      </c>
      <c r="F130" s="67">
        <f t="shared" si="2"/>
        <v>0.796</v>
      </c>
      <c r="G130" s="77">
        <f t="shared" si="3"/>
        <v>0.5184</v>
      </c>
      <c r="H130" s="77">
        <f t="shared" si="4"/>
        <v>0.9435714286</v>
      </c>
      <c r="I130" s="70">
        <f t="shared" si="5"/>
        <v>1806</v>
      </c>
      <c r="J130" s="35">
        <f t="shared" si="6"/>
        <v>2048</v>
      </c>
      <c r="K130" s="78">
        <f t="shared" si="7"/>
        <v>24388</v>
      </c>
    </row>
    <row r="131" ht="30.0" customHeight="1">
      <c r="C131" s="34" t="s">
        <v>55</v>
      </c>
      <c r="D131" s="35" t="s">
        <v>56</v>
      </c>
      <c r="E131" s="76">
        <f t="shared" si="1"/>
        <v>0.7167142857</v>
      </c>
      <c r="F131" s="77">
        <f t="shared" si="2"/>
        <v>0.7746</v>
      </c>
      <c r="G131" s="77">
        <f t="shared" si="3"/>
        <v>0.7704</v>
      </c>
      <c r="H131" s="77">
        <f t="shared" si="4"/>
        <v>0.9295714286</v>
      </c>
      <c r="I131" s="70">
        <f t="shared" si="5"/>
        <v>371</v>
      </c>
      <c r="J131" s="35">
        <f t="shared" si="6"/>
        <v>1666</v>
      </c>
      <c r="K131" s="78">
        <f t="shared" si="7"/>
        <v>25089</v>
      </c>
    </row>
    <row r="132" ht="29.25" customHeight="1">
      <c r="C132" s="34" t="s">
        <v>34</v>
      </c>
      <c r="D132" s="35" t="s">
        <v>56</v>
      </c>
      <c r="E132" s="76">
        <f t="shared" si="1"/>
        <v>0.716</v>
      </c>
      <c r="F132" s="77">
        <f t="shared" si="2"/>
        <v>0.78725</v>
      </c>
      <c r="G132" s="77">
        <f t="shared" si="3"/>
        <v>0.7383333333</v>
      </c>
      <c r="H132" s="77">
        <f t="shared" si="4"/>
        <v>0.93575</v>
      </c>
      <c r="I132" s="70">
        <f t="shared" si="5"/>
        <v>373</v>
      </c>
      <c r="J132" s="35">
        <f t="shared" si="6"/>
        <v>2098</v>
      </c>
      <c r="K132" s="78">
        <f t="shared" si="7"/>
        <v>24365</v>
      </c>
    </row>
    <row r="133" ht="32.25" customHeight="1">
      <c r="C133" s="3" t="s">
        <v>70</v>
      </c>
      <c r="D133" s="35" t="s">
        <v>48</v>
      </c>
      <c r="E133" s="76">
        <f t="shared" si="1"/>
        <v>0.6718571429</v>
      </c>
      <c r="F133" s="67">
        <f t="shared" si="2"/>
        <v>0.7372</v>
      </c>
      <c r="G133" s="77">
        <f t="shared" si="3"/>
        <v>0.8761666667</v>
      </c>
      <c r="H133" s="77">
        <f t="shared" si="4"/>
        <v>0.9327142857</v>
      </c>
      <c r="I133" s="70">
        <f t="shared" si="5"/>
        <v>310</v>
      </c>
      <c r="J133" s="70">
        <f t="shared" si="6"/>
        <v>2458</v>
      </c>
      <c r="K133" s="78">
        <f t="shared" si="7"/>
        <v>33204</v>
      </c>
    </row>
    <row r="134" ht="33.0" customHeight="1">
      <c r="C134" s="3" t="s">
        <v>71</v>
      </c>
      <c r="D134" s="44" t="s">
        <v>72</v>
      </c>
      <c r="E134" s="76">
        <f t="shared" si="1"/>
        <v>0.6552857143</v>
      </c>
      <c r="F134" s="67">
        <f t="shared" si="2"/>
        <v>0.74425</v>
      </c>
      <c r="G134" s="77">
        <f t="shared" si="3"/>
        <v>0.8718333333</v>
      </c>
      <c r="H134" s="77">
        <f t="shared" si="4"/>
        <v>0.8987142857</v>
      </c>
      <c r="I134" s="70">
        <f t="shared" si="5"/>
        <v>439</v>
      </c>
      <c r="J134" s="70">
        <f t="shared" si="6"/>
        <v>5583</v>
      </c>
      <c r="K134" s="78">
        <f t="shared" si="7"/>
        <v>31882</v>
      </c>
    </row>
    <row r="135" ht="33.0" customHeight="1">
      <c r="C135" s="34" t="s">
        <v>73</v>
      </c>
      <c r="D135" s="35" t="s">
        <v>48</v>
      </c>
      <c r="E135" s="76">
        <f t="shared" si="1"/>
        <v>0.6648571429</v>
      </c>
      <c r="F135" s="67">
        <f t="shared" si="2"/>
        <v>0.75025</v>
      </c>
      <c r="G135" s="77">
        <f t="shared" si="3"/>
        <v>0.8022</v>
      </c>
      <c r="H135" s="77">
        <f t="shared" si="4"/>
        <v>0.9041666667</v>
      </c>
      <c r="I135" s="70">
        <f t="shared" si="5"/>
        <v>472</v>
      </c>
      <c r="J135" s="35">
        <f t="shared" si="6"/>
        <v>1992</v>
      </c>
      <c r="K135" s="78">
        <f t="shared" si="7"/>
        <v>20510</v>
      </c>
    </row>
    <row r="136">
      <c r="E136" s="79"/>
    </row>
    <row r="137">
      <c r="E137" s="79"/>
    </row>
    <row r="138">
      <c r="E138" s="79"/>
    </row>
    <row r="139">
      <c r="E139" s="79"/>
    </row>
    <row r="140">
      <c r="E140" s="79"/>
    </row>
    <row r="141">
      <c r="E141" s="79"/>
    </row>
    <row r="142">
      <c r="E142" s="79"/>
    </row>
    <row r="143">
      <c r="E143" s="79"/>
    </row>
    <row r="144">
      <c r="E144" s="79"/>
    </row>
    <row r="145">
      <c r="E145" s="79"/>
    </row>
    <row r="146">
      <c r="E146" s="79"/>
    </row>
    <row r="147">
      <c r="E147" s="79"/>
    </row>
    <row r="148">
      <c r="E148" s="79"/>
    </row>
    <row r="149">
      <c r="E149" s="79"/>
    </row>
    <row r="150">
      <c r="E150" s="79"/>
    </row>
    <row r="151">
      <c r="E151" s="79"/>
    </row>
    <row r="152">
      <c r="E152" s="79"/>
    </row>
    <row r="153">
      <c r="E153" s="79"/>
    </row>
    <row r="154">
      <c r="E154" s="79"/>
    </row>
    <row r="155">
      <c r="E155" s="79"/>
    </row>
    <row r="156">
      <c r="E156" s="79"/>
    </row>
    <row r="157">
      <c r="E157" s="79"/>
    </row>
    <row r="158">
      <c r="E158" s="79"/>
    </row>
    <row r="159">
      <c r="E159" s="79"/>
    </row>
    <row r="160">
      <c r="E160" s="79"/>
    </row>
    <row r="161">
      <c r="E161" s="79"/>
    </row>
    <row r="162">
      <c r="E162" s="79"/>
    </row>
    <row r="163">
      <c r="E163" s="79"/>
    </row>
    <row r="164">
      <c r="E164" s="79"/>
    </row>
    <row r="165">
      <c r="E165" s="79"/>
    </row>
    <row r="166">
      <c r="E166" s="79"/>
    </row>
    <row r="167">
      <c r="E167" s="79"/>
    </row>
    <row r="168">
      <c r="E168" s="79"/>
    </row>
    <row r="169">
      <c r="E169" s="79"/>
    </row>
    <row r="170">
      <c r="E170" s="79"/>
    </row>
    <row r="171">
      <c r="E171" s="79"/>
    </row>
    <row r="172">
      <c r="E172" s="79"/>
    </row>
    <row r="173">
      <c r="E173" s="79"/>
    </row>
    <row r="174">
      <c r="E174" s="79"/>
    </row>
    <row r="175">
      <c r="E175" s="79"/>
    </row>
    <row r="176">
      <c r="E176" s="79"/>
    </row>
    <row r="177">
      <c r="E177" s="79"/>
    </row>
    <row r="178">
      <c r="E178" s="79"/>
    </row>
    <row r="179">
      <c r="E179" s="79"/>
    </row>
    <row r="180">
      <c r="E180" s="79"/>
    </row>
    <row r="181">
      <c r="E181" s="79"/>
    </row>
    <row r="182">
      <c r="E182" s="79"/>
    </row>
    <row r="183">
      <c r="E183" s="79"/>
    </row>
    <row r="184">
      <c r="E184" s="79"/>
    </row>
    <row r="185">
      <c r="E185" s="79"/>
    </row>
    <row r="186">
      <c r="E186" s="79"/>
    </row>
    <row r="187">
      <c r="E187" s="79"/>
    </row>
    <row r="188">
      <c r="E188" s="79"/>
    </row>
    <row r="189">
      <c r="E189" s="79"/>
    </row>
    <row r="190">
      <c r="E190" s="79"/>
    </row>
    <row r="191">
      <c r="E191" s="79"/>
    </row>
    <row r="192">
      <c r="E192" s="79"/>
    </row>
    <row r="193">
      <c r="E193" s="79"/>
    </row>
    <row r="194">
      <c r="E194" s="79"/>
    </row>
    <row r="195">
      <c r="E195" s="79"/>
    </row>
    <row r="196">
      <c r="E196" s="79"/>
    </row>
    <row r="197">
      <c r="E197" s="79"/>
    </row>
    <row r="198">
      <c r="E198" s="79"/>
    </row>
    <row r="199">
      <c r="E199" s="79"/>
    </row>
    <row r="200">
      <c r="E200" s="79"/>
    </row>
    <row r="201">
      <c r="E201" s="79"/>
    </row>
    <row r="202">
      <c r="E202" s="79"/>
    </row>
    <row r="203">
      <c r="E203" s="79"/>
    </row>
    <row r="204">
      <c r="E204" s="79"/>
    </row>
    <row r="205">
      <c r="E205" s="79"/>
    </row>
    <row r="206">
      <c r="E206" s="79"/>
    </row>
    <row r="207">
      <c r="E207" s="79"/>
    </row>
    <row r="208">
      <c r="E208" s="79"/>
    </row>
    <row r="209">
      <c r="E209" s="79"/>
    </row>
    <row r="210">
      <c r="E210" s="79"/>
    </row>
    <row r="211">
      <c r="E211" s="79"/>
    </row>
    <row r="212">
      <c r="E212" s="79"/>
    </row>
    <row r="213">
      <c r="E213" s="79"/>
    </row>
    <row r="214">
      <c r="E214" s="79"/>
    </row>
    <row r="215">
      <c r="E215" s="79"/>
    </row>
    <row r="216">
      <c r="E216" s="79"/>
    </row>
    <row r="217">
      <c r="E217" s="79"/>
    </row>
    <row r="218">
      <c r="E218" s="79"/>
    </row>
    <row r="219">
      <c r="E219" s="79"/>
    </row>
    <row r="220">
      <c r="E220" s="79"/>
    </row>
    <row r="221">
      <c r="E221" s="79"/>
    </row>
    <row r="222">
      <c r="E222" s="79"/>
    </row>
    <row r="223">
      <c r="E223" s="79"/>
    </row>
    <row r="224">
      <c r="E224" s="79"/>
    </row>
    <row r="225">
      <c r="E225" s="79"/>
    </row>
    <row r="226">
      <c r="E226" s="79"/>
    </row>
    <row r="227">
      <c r="E227" s="79"/>
    </row>
    <row r="228">
      <c r="E228" s="79"/>
    </row>
    <row r="229">
      <c r="E229" s="79"/>
    </row>
    <row r="230">
      <c r="E230" s="79"/>
    </row>
    <row r="231">
      <c r="E231" s="79"/>
    </row>
    <row r="232">
      <c r="E232" s="79"/>
    </row>
    <row r="233">
      <c r="E233" s="79"/>
    </row>
    <row r="234">
      <c r="E234" s="79"/>
    </row>
    <row r="235">
      <c r="E235" s="79"/>
    </row>
    <row r="236">
      <c r="E236" s="79"/>
    </row>
    <row r="237">
      <c r="E237" s="79"/>
    </row>
    <row r="238">
      <c r="E238" s="79"/>
    </row>
    <row r="239">
      <c r="E239" s="79"/>
    </row>
    <row r="240">
      <c r="E240" s="79"/>
    </row>
    <row r="241">
      <c r="E241" s="79"/>
    </row>
    <row r="242">
      <c r="E242" s="79"/>
    </row>
    <row r="243">
      <c r="E243" s="79"/>
    </row>
    <row r="244">
      <c r="E244" s="79"/>
    </row>
    <row r="245">
      <c r="E245" s="79"/>
    </row>
    <row r="246">
      <c r="E246" s="79"/>
    </row>
    <row r="247">
      <c r="E247" s="79"/>
    </row>
    <row r="248">
      <c r="E248" s="79"/>
    </row>
    <row r="249">
      <c r="E249" s="79"/>
    </row>
    <row r="250">
      <c r="E250" s="79"/>
    </row>
    <row r="251">
      <c r="E251" s="79"/>
    </row>
    <row r="252">
      <c r="E252" s="79"/>
    </row>
    <row r="253">
      <c r="E253" s="79"/>
    </row>
    <row r="254">
      <c r="E254" s="79"/>
    </row>
    <row r="255">
      <c r="E255" s="79"/>
    </row>
    <row r="256">
      <c r="E256" s="79"/>
    </row>
    <row r="257">
      <c r="E257" s="79"/>
    </row>
    <row r="258">
      <c r="E258" s="79"/>
    </row>
    <row r="259">
      <c r="E259" s="79"/>
    </row>
    <row r="260">
      <c r="E260" s="79"/>
    </row>
    <row r="261">
      <c r="E261" s="79"/>
    </row>
    <row r="262">
      <c r="E262" s="79"/>
    </row>
    <row r="263">
      <c r="E263" s="79"/>
    </row>
    <row r="264">
      <c r="E264" s="79"/>
    </row>
    <row r="265">
      <c r="E265" s="79"/>
    </row>
    <row r="266">
      <c r="E266" s="79"/>
    </row>
    <row r="267">
      <c r="E267" s="79"/>
    </row>
    <row r="268">
      <c r="E268" s="79"/>
    </row>
    <row r="269">
      <c r="E269" s="79"/>
    </row>
    <row r="270">
      <c r="E270" s="79"/>
    </row>
    <row r="271">
      <c r="E271" s="79"/>
    </row>
    <row r="272">
      <c r="E272" s="79"/>
    </row>
    <row r="273">
      <c r="E273" s="79"/>
    </row>
    <row r="274">
      <c r="E274" s="79"/>
    </row>
    <row r="275">
      <c r="E275" s="79"/>
    </row>
    <row r="276">
      <c r="E276" s="79"/>
    </row>
    <row r="277">
      <c r="E277" s="79"/>
    </row>
    <row r="278">
      <c r="E278" s="79"/>
    </row>
    <row r="279">
      <c r="E279" s="79"/>
    </row>
    <row r="280">
      <c r="E280" s="79"/>
    </row>
    <row r="281">
      <c r="E281" s="79"/>
    </row>
    <row r="282">
      <c r="E282" s="79"/>
    </row>
    <row r="283">
      <c r="E283" s="79"/>
    </row>
    <row r="284">
      <c r="E284" s="79"/>
    </row>
    <row r="285">
      <c r="E285" s="79"/>
    </row>
    <row r="286">
      <c r="E286" s="79"/>
    </row>
    <row r="287">
      <c r="E287" s="79"/>
    </row>
    <row r="288">
      <c r="E288" s="79"/>
    </row>
    <row r="289">
      <c r="E289" s="79"/>
    </row>
    <row r="290">
      <c r="E290" s="79"/>
    </row>
    <row r="291">
      <c r="E291" s="79"/>
    </row>
    <row r="292">
      <c r="E292" s="79"/>
    </row>
    <row r="293">
      <c r="E293" s="79"/>
    </row>
    <row r="294">
      <c r="E294" s="79"/>
    </row>
    <row r="295">
      <c r="E295" s="79"/>
    </row>
    <row r="296">
      <c r="E296" s="79"/>
    </row>
    <row r="297">
      <c r="E297" s="79"/>
    </row>
    <row r="298">
      <c r="E298" s="79"/>
    </row>
    <row r="299">
      <c r="E299" s="79"/>
    </row>
    <row r="300">
      <c r="E300" s="79"/>
    </row>
    <row r="301">
      <c r="E301" s="79"/>
    </row>
    <row r="302">
      <c r="E302" s="79"/>
    </row>
    <row r="303">
      <c r="E303" s="79"/>
    </row>
    <row r="304">
      <c r="E304" s="79"/>
    </row>
    <row r="305">
      <c r="E305" s="79"/>
    </row>
    <row r="306">
      <c r="E306" s="79"/>
    </row>
    <row r="307">
      <c r="E307" s="79"/>
    </row>
    <row r="308">
      <c r="E308" s="79"/>
    </row>
    <row r="309">
      <c r="E309" s="79"/>
    </row>
    <row r="310">
      <c r="E310" s="79"/>
    </row>
    <row r="311">
      <c r="E311" s="79"/>
    </row>
    <row r="312">
      <c r="E312" s="79"/>
    </row>
    <row r="313">
      <c r="E313" s="79"/>
    </row>
    <row r="314">
      <c r="E314" s="79"/>
    </row>
    <row r="315">
      <c r="E315" s="79"/>
    </row>
    <row r="316">
      <c r="E316" s="79"/>
    </row>
    <row r="317">
      <c r="E317" s="79"/>
    </row>
    <row r="318">
      <c r="E318" s="79"/>
    </row>
    <row r="319">
      <c r="E319" s="79"/>
    </row>
    <row r="320">
      <c r="E320" s="79"/>
    </row>
    <row r="321">
      <c r="E321" s="79"/>
    </row>
    <row r="322">
      <c r="E322" s="79"/>
    </row>
    <row r="323">
      <c r="E323" s="79"/>
    </row>
    <row r="324">
      <c r="E324" s="79"/>
    </row>
    <row r="325">
      <c r="E325" s="79"/>
    </row>
    <row r="326">
      <c r="E326" s="79"/>
    </row>
    <row r="327">
      <c r="E327" s="79"/>
    </row>
    <row r="328">
      <c r="E328" s="79"/>
    </row>
    <row r="329">
      <c r="E329" s="79"/>
    </row>
    <row r="330">
      <c r="E330" s="79"/>
    </row>
    <row r="331">
      <c r="E331" s="79"/>
    </row>
    <row r="332">
      <c r="E332" s="79"/>
    </row>
    <row r="333">
      <c r="E333" s="79"/>
    </row>
    <row r="334">
      <c r="E334" s="79"/>
    </row>
    <row r="335">
      <c r="E335" s="79"/>
    </row>
    <row r="336">
      <c r="E336" s="79"/>
    </row>
    <row r="337">
      <c r="E337" s="79"/>
    </row>
    <row r="338">
      <c r="E338" s="79"/>
    </row>
    <row r="339">
      <c r="E339" s="79"/>
    </row>
    <row r="340">
      <c r="E340" s="79"/>
    </row>
    <row r="341">
      <c r="E341" s="79"/>
    </row>
    <row r="342">
      <c r="E342" s="79"/>
    </row>
    <row r="343">
      <c r="E343" s="79"/>
    </row>
    <row r="344">
      <c r="E344" s="79"/>
    </row>
    <row r="345">
      <c r="E345" s="79"/>
    </row>
    <row r="346">
      <c r="E346" s="79"/>
    </row>
    <row r="347">
      <c r="E347" s="79"/>
    </row>
    <row r="348">
      <c r="E348" s="79"/>
    </row>
    <row r="349">
      <c r="E349" s="79"/>
    </row>
    <row r="350">
      <c r="E350" s="79"/>
    </row>
    <row r="351">
      <c r="E351" s="79"/>
    </row>
    <row r="352">
      <c r="E352" s="79"/>
    </row>
    <row r="353">
      <c r="E353" s="79"/>
    </row>
    <row r="354">
      <c r="E354" s="79"/>
    </row>
    <row r="355">
      <c r="E355" s="79"/>
    </row>
    <row r="356">
      <c r="E356" s="79"/>
    </row>
    <row r="357">
      <c r="E357" s="79"/>
    </row>
    <row r="358">
      <c r="E358" s="79"/>
    </row>
    <row r="359">
      <c r="E359" s="79"/>
    </row>
    <row r="360">
      <c r="E360" s="79"/>
    </row>
    <row r="361">
      <c r="E361" s="79"/>
    </row>
    <row r="362">
      <c r="E362" s="79"/>
    </row>
    <row r="363">
      <c r="E363" s="79"/>
    </row>
    <row r="364">
      <c r="E364" s="79"/>
    </row>
    <row r="365">
      <c r="E365" s="79"/>
    </row>
    <row r="366">
      <c r="E366" s="79"/>
    </row>
    <row r="367">
      <c r="E367" s="79"/>
    </row>
    <row r="368">
      <c r="E368" s="79"/>
    </row>
    <row r="369">
      <c r="E369" s="79"/>
    </row>
    <row r="370">
      <c r="E370" s="79"/>
    </row>
    <row r="371">
      <c r="E371" s="79"/>
    </row>
    <row r="372">
      <c r="E372" s="79"/>
    </row>
    <row r="373">
      <c r="E373" s="79"/>
    </row>
    <row r="374">
      <c r="E374" s="79"/>
    </row>
    <row r="375">
      <c r="E375" s="79"/>
    </row>
    <row r="376">
      <c r="E376" s="79"/>
    </row>
    <row r="377">
      <c r="E377" s="79"/>
    </row>
    <row r="378">
      <c r="E378" s="79"/>
    </row>
    <row r="379">
      <c r="E379" s="79"/>
    </row>
    <row r="380">
      <c r="E380" s="79"/>
    </row>
    <row r="381">
      <c r="E381" s="79"/>
    </row>
    <row r="382">
      <c r="E382" s="79"/>
    </row>
    <row r="383">
      <c r="E383" s="79"/>
    </row>
    <row r="384">
      <c r="E384" s="79"/>
    </row>
    <row r="385">
      <c r="E385" s="79"/>
    </row>
    <row r="386">
      <c r="E386" s="79"/>
    </row>
    <row r="387">
      <c r="E387" s="79"/>
    </row>
    <row r="388">
      <c r="E388" s="79"/>
    </row>
    <row r="389">
      <c r="E389" s="79"/>
    </row>
    <row r="390">
      <c r="E390" s="79"/>
    </row>
    <row r="391">
      <c r="E391" s="79"/>
    </row>
    <row r="392">
      <c r="E392" s="79"/>
    </row>
    <row r="393">
      <c r="E393" s="79"/>
    </row>
    <row r="394">
      <c r="E394" s="79"/>
    </row>
    <row r="395">
      <c r="E395" s="79"/>
    </row>
    <row r="396">
      <c r="E396" s="79"/>
    </row>
    <row r="397">
      <c r="E397" s="79"/>
    </row>
    <row r="398">
      <c r="E398" s="79"/>
    </row>
    <row r="399">
      <c r="E399" s="79"/>
    </row>
    <row r="400">
      <c r="E400" s="79"/>
    </row>
    <row r="401">
      <c r="E401" s="79"/>
    </row>
    <row r="402">
      <c r="E402" s="79"/>
    </row>
    <row r="403">
      <c r="E403" s="79"/>
    </row>
    <row r="404">
      <c r="E404" s="79"/>
    </row>
    <row r="405">
      <c r="E405" s="79"/>
    </row>
    <row r="406">
      <c r="E406" s="79"/>
    </row>
    <row r="407">
      <c r="E407" s="79"/>
    </row>
    <row r="408">
      <c r="E408" s="79"/>
    </row>
    <row r="409">
      <c r="E409" s="79"/>
    </row>
    <row r="410">
      <c r="E410" s="79"/>
    </row>
    <row r="411">
      <c r="E411" s="79"/>
    </row>
    <row r="412">
      <c r="E412" s="79"/>
    </row>
    <row r="413">
      <c r="E413" s="79"/>
    </row>
    <row r="414">
      <c r="E414" s="79"/>
    </row>
    <row r="415">
      <c r="E415" s="79"/>
    </row>
    <row r="416">
      <c r="E416" s="79"/>
    </row>
    <row r="417">
      <c r="E417" s="79"/>
    </row>
    <row r="418">
      <c r="E418" s="79"/>
    </row>
    <row r="419">
      <c r="E419" s="79"/>
    </row>
    <row r="420">
      <c r="E420" s="79"/>
    </row>
    <row r="421">
      <c r="E421" s="79"/>
    </row>
    <row r="422">
      <c r="E422" s="79"/>
    </row>
    <row r="423">
      <c r="E423" s="79"/>
    </row>
    <row r="424">
      <c r="E424" s="79"/>
    </row>
    <row r="425">
      <c r="E425" s="79"/>
    </row>
    <row r="426">
      <c r="E426" s="79"/>
    </row>
    <row r="427">
      <c r="E427" s="79"/>
    </row>
    <row r="428">
      <c r="E428" s="79"/>
    </row>
    <row r="429">
      <c r="E429" s="79"/>
    </row>
    <row r="430">
      <c r="E430" s="79"/>
    </row>
    <row r="431">
      <c r="E431" s="79"/>
    </row>
    <row r="432">
      <c r="E432" s="79"/>
    </row>
    <row r="433">
      <c r="E433" s="79"/>
    </row>
    <row r="434">
      <c r="E434" s="79"/>
    </row>
    <row r="435">
      <c r="E435" s="79"/>
    </row>
    <row r="436">
      <c r="E436" s="79"/>
    </row>
    <row r="437">
      <c r="E437" s="79"/>
    </row>
    <row r="438">
      <c r="E438" s="79"/>
    </row>
    <row r="439">
      <c r="E439" s="79"/>
    </row>
    <row r="440">
      <c r="E440" s="79"/>
    </row>
    <row r="441">
      <c r="E441" s="79"/>
    </row>
    <row r="442">
      <c r="E442" s="79"/>
    </row>
    <row r="443">
      <c r="E443" s="79"/>
    </row>
    <row r="444">
      <c r="E444" s="79"/>
    </row>
    <row r="445">
      <c r="E445" s="79"/>
    </row>
    <row r="446">
      <c r="E446" s="79"/>
    </row>
    <row r="447">
      <c r="E447" s="79"/>
    </row>
    <row r="448">
      <c r="E448" s="79"/>
    </row>
    <row r="449">
      <c r="E449" s="79"/>
    </row>
    <row r="450">
      <c r="E450" s="79"/>
    </row>
    <row r="451">
      <c r="E451" s="79"/>
    </row>
    <row r="452">
      <c r="E452" s="79"/>
    </row>
    <row r="453">
      <c r="E453" s="79"/>
    </row>
    <row r="454">
      <c r="E454" s="79"/>
    </row>
    <row r="455">
      <c r="E455" s="79"/>
    </row>
    <row r="456">
      <c r="E456" s="79"/>
    </row>
    <row r="457">
      <c r="E457" s="79"/>
    </row>
    <row r="458">
      <c r="E458" s="79"/>
    </row>
    <row r="459">
      <c r="E459" s="79"/>
    </row>
    <row r="460">
      <c r="E460" s="79"/>
    </row>
    <row r="461">
      <c r="E461" s="79"/>
    </row>
    <row r="462">
      <c r="E462" s="79"/>
    </row>
    <row r="463">
      <c r="E463" s="79"/>
    </row>
    <row r="464">
      <c r="E464" s="79"/>
    </row>
    <row r="465">
      <c r="E465" s="79"/>
    </row>
    <row r="466">
      <c r="E466" s="79"/>
    </row>
    <row r="467">
      <c r="E467" s="79"/>
    </row>
    <row r="468">
      <c r="E468" s="79"/>
    </row>
    <row r="469">
      <c r="E469" s="79"/>
    </row>
    <row r="470">
      <c r="E470" s="79"/>
    </row>
    <row r="471">
      <c r="E471" s="79"/>
    </row>
    <row r="472">
      <c r="E472" s="79"/>
    </row>
    <row r="473">
      <c r="E473" s="79"/>
    </row>
    <row r="474">
      <c r="E474" s="79"/>
    </row>
    <row r="475">
      <c r="E475" s="79"/>
    </row>
    <row r="476">
      <c r="E476" s="79"/>
    </row>
    <row r="477">
      <c r="E477" s="79"/>
    </row>
    <row r="478">
      <c r="E478" s="79"/>
    </row>
    <row r="479">
      <c r="E479" s="79"/>
    </row>
    <row r="480">
      <c r="E480" s="79"/>
    </row>
    <row r="481">
      <c r="E481" s="79"/>
    </row>
    <row r="482">
      <c r="E482" s="79"/>
    </row>
    <row r="483">
      <c r="E483" s="79"/>
    </row>
    <row r="484">
      <c r="E484" s="79"/>
    </row>
    <row r="485">
      <c r="E485" s="79"/>
    </row>
    <row r="486">
      <c r="E486" s="79"/>
    </row>
    <row r="487">
      <c r="E487" s="79"/>
    </row>
    <row r="488">
      <c r="E488" s="79"/>
    </row>
    <row r="489">
      <c r="E489" s="79"/>
    </row>
    <row r="490">
      <c r="E490" s="79"/>
    </row>
    <row r="491">
      <c r="E491" s="79"/>
    </row>
    <row r="492">
      <c r="E492" s="79"/>
    </row>
    <row r="493">
      <c r="E493" s="79"/>
    </row>
    <row r="494">
      <c r="E494" s="79"/>
    </row>
    <row r="495">
      <c r="E495" s="79"/>
    </row>
    <row r="496">
      <c r="E496" s="79"/>
    </row>
    <row r="497">
      <c r="E497" s="79"/>
    </row>
    <row r="498">
      <c r="E498" s="79"/>
    </row>
    <row r="499">
      <c r="E499" s="79"/>
    </row>
    <row r="500">
      <c r="E500" s="79"/>
    </row>
    <row r="501">
      <c r="E501" s="79"/>
    </row>
    <row r="502">
      <c r="E502" s="79"/>
    </row>
    <row r="503">
      <c r="E503" s="79"/>
    </row>
    <row r="504">
      <c r="E504" s="79"/>
    </row>
    <row r="505">
      <c r="E505" s="79"/>
    </row>
    <row r="506">
      <c r="E506" s="79"/>
    </row>
    <row r="507">
      <c r="E507" s="79"/>
    </row>
    <row r="508">
      <c r="E508" s="79"/>
    </row>
    <row r="509">
      <c r="E509" s="79"/>
    </row>
    <row r="510">
      <c r="E510" s="79"/>
    </row>
    <row r="511">
      <c r="E511" s="79"/>
    </row>
    <row r="512">
      <c r="E512" s="79"/>
    </row>
    <row r="513">
      <c r="E513" s="79"/>
    </row>
    <row r="514">
      <c r="E514" s="79"/>
    </row>
    <row r="515">
      <c r="E515" s="79"/>
    </row>
    <row r="516">
      <c r="E516" s="79"/>
    </row>
    <row r="517">
      <c r="E517" s="79"/>
    </row>
    <row r="518">
      <c r="E518" s="79"/>
    </row>
    <row r="519">
      <c r="E519" s="79"/>
    </row>
    <row r="520">
      <c r="E520" s="79"/>
    </row>
    <row r="521">
      <c r="E521" s="79"/>
    </row>
    <row r="522">
      <c r="E522" s="79"/>
    </row>
    <row r="523">
      <c r="E523" s="79"/>
    </row>
    <row r="524">
      <c r="E524" s="79"/>
    </row>
    <row r="525">
      <c r="E525" s="79"/>
    </row>
    <row r="526">
      <c r="E526" s="79"/>
    </row>
    <row r="527">
      <c r="E527" s="79"/>
    </row>
    <row r="528">
      <c r="E528" s="79"/>
    </row>
    <row r="529">
      <c r="E529" s="79"/>
    </row>
    <row r="530">
      <c r="E530" s="79"/>
    </row>
    <row r="531">
      <c r="E531" s="79"/>
    </row>
    <row r="532">
      <c r="E532" s="79"/>
    </row>
    <row r="533">
      <c r="E533" s="79"/>
    </row>
    <row r="534">
      <c r="E534" s="79"/>
    </row>
    <row r="535">
      <c r="E535" s="79"/>
    </row>
    <row r="536">
      <c r="E536" s="79"/>
    </row>
    <row r="537">
      <c r="E537" s="79"/>
    </row>
    <row r="538">
      <c r="E538" s="79"/>
    </row>
    <row r="539">
      <c r="E539" s="79"/>
    </row>
    <row r="540">
      <c r="E540" s="79"/>
    </row>
    <row r="541">
      <c r="E541" s="79"/>
    </row>
    <row r="542">
      <c r="E542" s="79"/>
    </row>
    <row r="543">
      <c r="E543" s="79"/>
    </row>
    <row r="544">
      <c r="E544" s="79"/>
    </row>
    <row r="545">
      <c r="E545" s="79"/>
    </row>
    <row r="546">
      <c r="E546" s="79"/>
    </row>
    <row r="547">
      <c r="E547" s="79"/>
    </row>
    <row r="548">
      <c r="E548" s="79"/>
    </row>
    <row r="549">
      <c r="E549" s="79"/>
    </row>
    <row r="550">
      <c r="E550" s="79"/>
    </row>
    <row r="551">
      <c r="E551" s="79"/>
    </row>
    <row r="552">
      <c r="E552" s="79"/>
    </row>
    <row r="553">
      <c r="E553" s="79"/>
    </row>
    <row r="554">
      <c r="E554" s="79"/>
    </row>
    <row r="555">
      <c r="E555" s="79"/>
    </row>
    <row r="556">
      <c r="E556" s="79"/>
    </row>
    <row r="557">
      <c r="E557" s="79"/>
    </row>
    <row r="558">
      <c r="E558" s="79"/>
    </row>
    <row r="559">
      <c r="E559" s="79"/>
    </row>
    <row r="560">
      <c r="E560" s="79"/>
    </row>
    <row r="561">
      <c r="E561" s="79"/>
    </row>
    <row r="562">
      <c r="E562" s="79"/>
    </row>
    <row r="563">
      <c r="E563" s="79"/>
    </row>
    <row r="564">
      <c r="E564" s="79"/>
    </row>
    <row r="565">
      <c r="E565" s="79"/>
    </row>
    <row r="566">
      <c r="E566" s="79"/>
    </row>
    <row r="567">
      <c r="E567" s="79"/>
    </row>
    <row r="568">
      <c r="E568" s="79"/>
    </row>
    <row r="569">
      <c r="E569" s="79"/>
    </row>
    <row r="570">
      <c r="E570" s="79"/>
    </row>
    <row r="571">
      <c r="E571" s="79"/>
    </row>
    <row r="572">
      <c r="E572" s="79"/>
    </row>
    <row r="573">
      <c r="E573" s="79"/>
    </row>
    <row r="574">
      <c r="E574" s="79"/>
    </row>
    <row r="575">
      <c r="E575" s="79"/>
    </row>
    <row r="576">
      <c r="E576" s="79"/>
    </row>
    <row r="577">
      <c r="E577" s="79"/>
    </row>
    <row r="578">
      <c r="E578" s="79"/>
    </row>
    <row r="579">
      <c r="E579" s="79"/>
    </row>
    <row r="580">
      <c r="E580" s="79"/>
    </row>
    <row r="581">
      <c r="E581" s="79"/>
    </row>
    <row r="582">
      <c r="E582" s="79"/>
    </row>
    <row r="583">
      <c r="E583" s="79"/>
    </row>
    <row r="584">
      <c r="E584" s="79"/>
    </row>
    <row r="585">
      <c r="E585" s="79"/>
    </row>
    <row r="586">
      <c r="E586" s="79"/>
    </row>
    <row r="587">
      <c r="E587" s="79"/>
    </row>
    <row r="588">
      <c r="E588" s="79"/>
    </row>
    <row r="589">
      <c r="E589" s="79"/>
    </row>
    <row r="590">
      <c r="E590" s="79"/>
    </row>
    <row r="591">
      <c r="E591" s="79"/>
    </row>
    <row r="592">
      <c r="E592" s="79"/>
    </row>
    <row r="593">
      <c r="E593" s="79"/>
    </row>
    <row r="594">
      <c r="E594" s="79"/>
    </row>
    <row r="595">
      <c r="E595" s="79"/>
    </row>
    <row r="596">
      <c r="E596" s="79"/>
    </row>
    <row r="597">
      <c r="E597" s="79"/>
    </row>
    <row r="598">
      <c r="E598" s="79"/>
    </row>
    <row r="599">
      <c r="E599" s="79"/>
    </row>
    <row r="600">
      <c r="E600" s="79"/>
    </row>
    <row r="601">
      <c r="E601" s="79"/>
    </row>
    <row r="602">
      <c r="E602" s="79"/>
    </row>
    <row r="603">
      <c r="E603" s="79"/>
    </row>
    <row r="604">
      <c r="E604" s="79"/>
    </row>
    <row r="605">
      <c r="E605" s="79"/>
    </row>
    <row r="606">
      <c r="E606" s="79"/>
    </row>
    <row r="607">
      <c r="E607" s="79"/>
    </row>
    <row r="608">
      <c r="E608" s="79"/>
    </row>
    <row r="609">
      <c r="E609" s="79"/>
    </row>
    <row r="610">
      <c r="E610" s="79"/>
    </row>
    <row r="611">
      <c r="E611" s="79"/>
    </row>
    <row r="612">
      <c r="E612" s="79"/>
    </row>
    <row r="613">
      <c r="E613" s="79"/>
    </row>
    <row r="614">
      <c r="E614" s="79"/>
    </row>
    <row r="615">
      <c r="E615" s="79"/>
    </row>
    <row r="616">
      <c r="E616" s="79"/>
    </row>
    <row r="617">
      <c r="E617" s="79"/>
    </row>
    <row r="618">
      <c r="E618" s="79"/>
    </row>
    <row r="619">
      <c r="E619" s="79"/>
    </row>
    <row r="620">
      <c r="E620" s="79"/>
    </row>
    <row r="621">
      <c r="E621" s="79"/>
    </row>
    <row r="622">
      <c r="E622" s="79"/>
    </row>
    <row r="623">
      <c r="E623" s="79"/>
    </row>
    <row r="624">
      <c r="E624" s="79"/>
    </row>
    <row r="625">
      <c r="E625" s="79"/>
    </row>
    <row r="626">
      <c r="E626" s="79"/>
    </row>
    <row r="627">
      <c r="E627" s="79"/>
    </row>
    <row r="628">
      <c r="E628" s="79"/>
    </row>
    <row r="629">
      <c r="E629" s="79"/>
    </row>
    <row r="630">
      <c r="E630" s="79"/>
    </row>
    <row r="631">
      <c r="E631" s="79"/>
    </row>
    <row r="632">
      <c r="E632" s="79"/>
    </row>
    <row r="633">
      <c r="E633" s="79"/>
    </row>
    <row r="634">
      <c r="E634" s="79"/>
    </row>
    <row r="635">
      <c r="E635" s="79"/>
    </row>
    <row r="636">
      <c r="E636" s="79"/>
    </row>
    <row r="637">
      <c r="E637" s="79"/>
    </row>
    <row r="638">
      <c r="E638" s="79"/>
    </row>
    <row r="639">
      <c r="E639" s="79"/>
    </row>
    <row r="640">
      <c r="E640" s="79"/>
    </row>
    <row r="641">
      <c r="E641" s="79"/>
    </row>
    <row r="642">
      <c r="E642" s="79"/>
    </row>
    <row r="643">
      <c r="E643" s="79"/>
    </row>
    <row r="644">
      <c r="E644" s="79"/>
    </row>
    <row r="645">
      <c r="E645" s="79"/>
    </row>
    <row r="646">
      <c r="E646" s="79"/>
    </row>
    <row r="647">
      <c r="E647" s="79"/>
    </row>
    <row r="648">
      <c r="E648" s="79"/>
    </row>
    <row r="649">
      <c r="E649" s="79"/>
    </row>
    <row r="650">
      <c r="E650" s="79"/>
    </row>
    <row r="651">
      <c r="E651" s="79"/>
    </row>
    <row r="652">
      <c r="E652" s="79"/>
    </row>
    <row r="653">
      <c r="E653" s="79"/>
    </row>
    <row r="654">
      <c r="E654" s="79"/>
    </row>
    <row r="655">
      <c r="E655" s="79"/>
    </row>
    <row r="656">
      <c r="E656" s="79"/>
    </row>
    <row r="657">
      <c r="E657" s="79"/>
    </row>
    <row r="658">
      <c r="E658" s="79"/>
    </row>
    <row r="659">
      <c r="E659" s="79"/>
    </row>
    <row r="660">
      <c r="E660" s="79"/>
    </row>
    <row r="661">
      <c r="E661" s="79"/>
    </row>
    <row r="662">
      <c r="E662" s="79"/>
    </row>
    <row r="663">
      <c r="E663" s="79"/>
    </row>
    <row r="664">
      <c r="E664" s="79"/>
    </row>
    <row r="665">
      <c r="E665" s="79"/>
    </row>
    <row r="666">
      <c r="E666" s="79"/>
    </row>
    <row r="667">
      <c r="E667" s="79"/>
    </row>
    <row r="668">
      <c r="E668" s="79"/>
    </row>
    <row r="669">
      <c r="E669" s="79"/>
    </row>
    <row r="670">
      <c r="E670" s="79"/>
    </row>
    <row r="671">
      <c r="E671" s="79"/>
    </row>
    <row r="672">
      <c r="E672" s="79"/>
    </row>
    <row r="673">
      <c r="E673" s="79"/>
    </row>
    <row r="674">
      <c r="E674" s="79"/>
    </row>
    <row r="675">
      <c r="E675" s="79"/>
    </row>
    <row r="676">
      <c r="E676" s="79"/>
    </row>
    <row r="677">
      <c r="E677" s="79"/>
    </row>
    <row r="678">
      <c r="E678" s="79"/>
    </row>
    <row r="679">
      <c r="E679" s="79"/>
    </row>
    <row r="680">
      <c r="E680" s="79"/>
    </row>
    <row r="681">
      <c r="E681" s="79"/>
    </row>
    <row r="682">
      <c r="E682" s="79"/>
    </row>
    <row r="683">
      <c r="E683" s="79"/>
    </row>
    <row r="684">
      <c r="E684" s="79"/>
    </row>
    <row r="685">
      <c r="E685" s="79"/>
    </row>
    <row r="686">
      <c r="E686" s="79"/>
    </row>
    <row r="687">
      <c r="E687" s="79"/>
    </row>
    <row r="688">
      <c r="E688" s="79"/>
    </row>
    <row r="689">
      <c r="E689" s="79"/>
    </row>
    <row r="690">
      <c r="E690" s="79"/>
    </row>
    <row r="691">
      <c r="E691" s="79"/>
    </row>
    <row r="692">
      <c r="E692" s="79"/>
    </row>
    <row r="693">
      <c r="E693" s="79"/>
    </row>
    <row r="694">
      <c r="E694" s="79"/>
    </row>
    <row r="695">
      <c r="E695" s="79"/>
    </row>
    <row r="696">
      <c r="E696" s="79"/>
    </row>
    <row r="697">
      <c r="E697" s="79"/>
    </row>
    <row r="698">
      <c r="E698" s="79"/>
    </row>
    <row r="699">
      <c r="E699" s="79"/>
    </row>
    <row r="700">
      <c r="E700" s="79"/>
    </row>
    <row r="701">
      <c r="E701" s="79"/>
    </row>
    <row r="702">
      <c r="E702" s="79"/>
    </row>
    <row r="703">
      <c r="E703" s="79"/>
    </row>
    <row r="704">
      <c r="E704" s="79"/>
    </row>
    <row r="705">
      <c r="E705" s="79"/>
    </row>
    <row r="706">
      <c r="E706" s="79"/>
    </row>
    <row r="707">
      <c r="E707" s="79"/>
    </row>
    <row r="708">
      <c r="E708" s="79"/>
    </row>
    <row r="709">
      <c r="E709" s="79"/>
    </row>
    <row r="710">
      <c r="E710" s="79"/>
    </row>
    <row r="711">
      <c r="E711" s="79"/>
    </row>
    <row r="712">
      <c r="E712" s="79"/>
    </row>
    <row r="713">
      <c r="E713" s="79"/>
    </row>
    <row r="714">
      <c r="E714" s="79"/>
    </row>
    <row r="715">
      <c r="E715" s="79"/>
    </row>
    <row r="716">
      <c r="E716" s="79"/>
    </row>
    <row r="717">
      <c r="E717" s="79"/>
    </row>
    <row r="718">
      <c r="E718" s="79"/>
    </row>
    <row r="719">
      <c r="E719" s="79"/>
    </row>
    <row r="720">
      <c r="E720" s="79"/>
    </row>
    <row r="721">
      <c r="E721" s="79"/>
    </row>
    <row r="722">
      <c r="E722" s="79"/>
    </row>
    <row r="723">
      <c r="E723" s="79"/>
    </row>
    <row r="724">
      <c r="E724" s="79"/>
    </row>
    <row r="725">
      <c r="E725" s="79"/>
    </row>
    <row r="726">
      <c r="E726" s="79"/>
    </row>
    <row r="727">
      <c r="E727" s="79"/>
    </row>
    <row r="728">
      <c r="E728" s="79"/>
    </row>
    <row r="729">
      <c r="E729" s="79"/>
    </row>
    <row r="730">
      <c r="E730" s="79"/>
    </row>
    <row r="731">
      <c r="E731" s="79"/>
    </row>
    <row r="732">
      <c r="E732" s="79"/>
    </row>
    <row r="733">
      <c r="E733" s="79"/>
    </row>
    <row r="734">
      <c r="E734" s="79"/>
    </row>
    <row r="735">
      <c r="E735" s="79"/>
    </row>
    <row r="736">
      <c r="E736" s="79"/>
    </row>
    <row r="737">
      <c r="E737" s="79"/>
    </row>
    <row r="738">
      <c r="E738" s="79"/>
    </row>
    <row r="739">
      <c r="E739" s="79"/>
    </row>
    <row r="740">
      <c r="E740" s="79"/>
    </row>
    <row r="741">
      <c r="E741" s="79"/>
    </row>
    <row r="742">
      <c r="E742" s="79"/>
    </row>
    <row r="743">
      <c r="E743" s="79"/>
    </row>
    <row r="744">
      <c r="E744" s="79"/>
    </row>
    <row r="745">
      <c r="E745" s="79"/>
    </row>
    <row r="746">
      <c r="E746" s="79"/>
    </row>
    <row r="747">
      <c r="E747" s="79"/>
    </row>
    <row r="748">
      <c r="E748" s="79"/>
    </row>
    <row r="749">
      <c r="E749" s="79"/>
    </row>
    <row r="750">
      <c r="E750" s="79"/>
    </row>
    <row r="751">
      <c r="E751" s="79"/>
    </row>
    <row r="752">
      <c r="E752" s="79"/>
    </row>
    <row r="753">
      <c r="E753" s="79"/>
    </row>
    <row r="754">
      <c r="E754" s="79"/>
    </row>
    <row r="755">
      <c r="E755" s="79"/>
    </row>
    <row r="756">
      <c r="E756" s="79"/>
    </row>
    <row r="757">
      <c r="E757" s="79"/>
    </row>
    <row r="758">
      <c r="E758" s="79"/>
    </row>
    <row r="759">
      <c r="E759" s="79"/>
    </row>
    <row r="760">
      <c r="E760" s="79"/>
    </row>
    <row r="761">
      <c r="E761" s="79"/>
    </row>
    <row r="762">
      <c r="E762" s="79"/>
    </row>
    <row r="763">
      <c r="E763" s="79"/>
    </row>
    <row r="764">
      <c r="E764" s="79"/>
    </row>
    <row r="765">
      <c r="E765" s="79"/>
    </row>
    <row r="766">
      <c r="E766" s="79"/>
    </row>
    <row r="767">
      <c r="E767" s="79"/>
    </row>
    <row r="768">
      <c r="E768" s="79"/>
    </row>
    <row r="769">
      <c r="E769" s="79"/>
    </row>
    <row r="770">
      <c r="E770" s="79"/>
    </row>
    <row r="771">
      <c r="E771" s="79"/>
    </row>
    <row r="772">
      <c r="E772" s="79"/>
    </row>
    <row r="773">
      <c r="E773" s="79"/>
    </row>
    <row r="774">
      <c r="E774" s="79"/>
    </row>
    <row r="775">
      <c r="E775" s="79"/>
    </row>
    <row r="776">
      <c r="E776" s="79"/>
    </row>
    <row r="777">
      <c r="E777" s="79"/>
    </row>
    <row r="778">
      <c r="E778" s="79"/>
    </row>
    <row r="779">
      <c r="E779" s="79"/>
    </row>
    <row r="780">
      <c r="E780" s="79"/>
    </row>
    <row r="781">
      <c r="E781" s="79"/>
    </row>
    <row r="782">
      <c r="E782" s="79"/>
    </row>
    <row r="783">
      <c r="E783" s="79"/>
    </row>
    <row r="784">
      <c r="E784" s="79"/>
    </row>
    <row r="785">
      <c r="E785" s="79"/>
    </row>
    <row r="786">
      <c r="E786" s="79"/>
    </row>
    <row r="787">
      <c r="E787" s="79"/>
    </row>
    <row r="788">
      <c r="E788" s="79"/>
    </row>
    <row r="789">
      <c r="E789" s="79"/>
    </row>
    <row r="790">
      <c r="E790" s="79"/>
    </row>
    <row r="791">
      <c r="E791" s="79"/>
    </row>
    <row r="792">
      <c r="E792" s="79"/>
    </row>
    <row r="793">
      <c r="E793" s="79"/>
    </row>
    <row r="794">
      <c r="E794" s="79"/>
    </row>
    <row r="795">
      <c r="E795" s="79"/>
    </row>
    <row r="796">
      <c r="E796" s="79"/>
    </row>
    <row r="797">
      <c r="E797" s="79"/>
    </row>
    <row r="798">
      <c r="E798" s="79"/>
    </row>
    <row r="799">
      <c r="E799" s="79"/>
    </row>
    <row r="800">
      <c r="E800" s="79"/>
    </row>
    <row r="801">
      <c r="E801" s="79"/>
    </row>
    <row r="802">
      <c r="E802" s="79"/>
    </row>
    <row r="803">
      <c r="E803" s="79"/>
    </row>
    <row r="804">
      <c r="E804" s="79"/>
    </row>
    <row r="805">
      <c r="E805" s="79"/>
    </row>
    <row r="806">
      <c r="E806" s="79"/>
    </row>
    <row r="807">
      <c r="E807" s="79"/>
    </row>
    <row r="808">
      <c r="E808" s="79"/>
    </row>
    <row r="809">
      <c r="E809" s="79"/>
    </row>
    <row r="810">
      <c r="E810" s="79"/>
    </row>
    <row r="811">
      <c r="E811" s="79"/>
    </row>
    <row r="812">
      <c r="E812" s="79"/>
    </row>
    <row r="813">
      <c r="E813" s="79"/>
    </row>
    <row r="814">
      <c r="E814" s="79"/>
    </row>
    <row r="815">
      <c r="E815" s="79"/>
    </row>
    <row r="816">
      <c r="E816" s="79"/>
    </row>
    <row r="817">
      <c r="E817" s="79"/>
    </row>
    <row r="818">
      <c r="E818" s="79"/>
    </row>
    <row r="819">
      <c r="E819" s="79"/>
    </row>
    <row r="820">
      <c r="E820" s="79"/>
    </row>
    <row r="821">
      <c r="E821" s="79"/>
    </row>
    <row r="822">
      <c r="E822" s="79"/>
    </row>
    <row r="823">
      <c r="E823" s="79"/>
    </row>
    <row r="824">
      <c r="E824" s="79"/>
    </row>
    <row r="825">
      <c r="E825" s="79"/>
    </row>
    <row r="826">
      <c r="E826" s="79"/>
    </row>
    <row r="827">
      <c r="E827" s="79"/>
    </row>
    <row r="828">
      <c r="E828" s="79"/>
    </row>
    <row r="829">
      <c r="E829" s="79"/>
    </row>
    <row r="830">
      <c r="E830" s="79"/>
    </row>
    <row r="831">
      <c r="E831" s="79"/>
    </row>
    <row r="832">
      <c r="E832" s="79"/>
    </row>
    <row r="833">
      <c r="E833" s="79"/>
    </row>
    <row r="834">
      <c r="E834" s="79"/>
    </row>
    <row r="835">
      <c r="E835" s="79"/>
    </row>
    <row r="836">
      <c r="E836" s="79"/>
    </row>
    <row r="837">
      <c r="E837" s="79"/>
    </row>
    <row r="838">
      <c r="E838" s="79"/>
    </row>
    <row r="839">
      <c r="E839" s="79"/>
    </row>
    <row r="840">
      <c r="E840" s="79"/>
    </row>
    <row r="841">
      <c r="E841" s="79"/>
    </row>
    <row r="842">
      <c r="E842" s="79"/>
    </row>
    <row r="843">
      <c r="E843" s="79"/>
    </row>
    <row r="844">
      <c r="E844" s="79"/>
    </row>
    <row r="845">
      <c r="E845" s="79"/>
    </row>
    <row r="846">
      <c r="E846" s="79"/>
    </row>
    <row r="847">
      <c r="E847" s="79"/>
    </row>
    <row r="848">
      <c r="E848" s="79"/>
    </row>
    <row r="849">
      <c r="E849" s="79"/>
    </row>
    <row r="850">
      <c r="E850" s="79"/>
    </row>
    <row r="851">
      <c r="E851" s="79"/>
    </row>
    <row r="852">
      <c r="E852" s="79"/>
    </row>
    <row r="853">
      <c r="E853" s="79"/>
    </row>
    <row r="854">
      <c r="E854" s="79"/>
    </row>
    <row r="855">
      <c r="E855" s="79"/>
    </row>
    <row r="856">
      <c r="E856" s="79"/>
    </row>
    <row r="857">
      <c r="E857" s="79"/>
    </row>
    <row r="858">
      <c r="E858" s="79"/>
    </row>
    <row r="859">
      <c r="E859" s="79"/>
    </row>
    <row r="860">
      <c r="E860" s="79"/>
    </row>
    <row r="861">
      <c r="E861" s="79"/>
    </row>
    <row r="862">
      <c r="E862" s="79"/>
    </row>
    <row r="863">
      <c r="E863" s="79"/>
    </row>
    <row r="864">
      <c r="E864" s="79"/>
    </row>
    <row r="865">
      <c r="E865" s="79"/>
    </row>
    <row r="866">
      <c r="E866" s="79"/>
    </row>
    <row r="867">
      <c r="E867" s="79"/>
    </row>
    <row r="868">
      <c r="E868" s="79"/>
    </row>
    <row r="869">
      <c r="E869" s="79"/>
    </row>
    <row r="870">
      <c r="E870" s="79"/>
    </row>
    <row r="871">
      <c r="E871" s="79"/>
    </row>
    <row r="872">
      <c r="E872" s="79"/>
    </row>
    <row r="873">
      <c r="E873" s="79"/>
    </row>
    <row r="874">
      <c r="E874" s="79"/>
    </row>
    <row r="875">
      <c r="E875" s="79"/>
    </row>
    <row r="876">
      <c r="E876" s="79"/>
    </row>
    <row r="877">
      <c r="E877" s="79"/>
    </row>
    <row r="878">
      <c r="E878" s="79"/>
    </row>
    <row r="879">
      <c r="E879" s="79"/>
    </row>
    <row r="880">
      <c r="E880" s="79"/>
    </row>
    <row r="881">
      <c r="E881" s="79"/>
    </row>
    <row r="882">
      <c r="E882" s="79"/>
    </row>
    <row r="883">
      <c r="E883" s="79"/>
    </row>
    <row r="884">
      <c r="E884" s="79"/>
    </row>
    <row r="885">
      <c r="E885" s="79"/>
    </row>
    <row r="886">
      <c r="E886" s="79"/>
    </row>
    <row r="887">
      <c r="E887" s="79"/>
    </row>
    <row r="888">
      <c r="E888" s="79"/>
    </row>
    <row r="889">
      <c r="E889" s="79"/>
    </row>
    <row r="890">
      <c r="E890" s="79"/>
    </row>
    <row r="891">
      <c r="E891" s="79"/>
    </row>
    <row r="892">
      <c r="E892" s="79"/>
    </row>
    <row r="893">
      <c r="E893" s="79"/>
    </row>
    <row r="894">
      <c r="E894" s="79"/>
    </row>
    <row r="895">
      <c r="E895" s="79"/>
    </row>
    <row r="896">
      <c r="E896" s="79"/>
    </row>
    <row r="897">
      <c r="E897" s="79"/>
    </row>
    <row r="898">
      <c r="E898" s="79"/>
    </row>
    <row r="899">
      <c r="E899" s="79"/>
    </row>
    <row r="900">
      <c r="E900" s="79"/>
    </row>
    <row r="901">
      <c r="E901" s="79"/>
    </row>
    <row r="902">
      <c r="E902" s="79"/>
    </row>
    <row r="903">
      <c r="E903" s="79"/>
    </row>
    <row r="904">
      <c r="E904" s="79"/>
    </row>
    <row r="905">
      <c r="E905" s="79"/>
    </row>
    <row r="906">
      <c r="E906" s="79"/>
    </row>
    <row r="907">
      <c r="E907" s="79"/>
    </row>
    <row r="908">
      <c r="E908" s="79"/>
    </row>
    <row r="909">
      <c r="E909" s="79"/>
    </row>
    <row r="910">
      <c r="E910" s="79"/>
    </row>
    <row r="911">
      <c r="E911" s="79"/>
    </row>
    <row r="912">
      <c r="E912" s="79"/>
    </row>
    <row r="913">
      <c r="E913" s="79"/>
    </row>
    <row r="914">
      <c r="E914" s="79"/>
    </row>
    <row r="915">
      <c r="E915" s="79"/>
    </row>
    <row r="916">
      <c r="E916" s="79"/>
    </row>
    <row r="917">
      <c r="E917" s="79"/>
    </row>
    <row r="918">
      <c r="E918" s="79"/>
    </row>
    <row r="919">
      <c r="E919" s="79"/>
    </row>
    <row r="920">
      <c r="E920" s="79"/>
    </row>
    <row r="921">
      <c r="E921" s="79"/>
    </row>
    <row r="922">
      <c r="E922" s="79"/>
    </row>
    <row r="923">
      <c r="E923" s="79"/>
    </row>
    <row r="924">
      <c r="E924" s="79"/>
    </row>
    <row r="925">
      <c r="E925" s="79"/>
    </row>
    <row r="926">
      <c r="E926" s="79"/>
    </row>
    <row r="927">
      <c r="E927" s="79"/>
    </row>
    <row r="928">
      <c r="E928" s="79"/>
    </row>
    <row r="929">
      <c r="E929" s="79"/>
    </row>
    <row r="930">
      <c r="E930" s="79"/>
    </row>
    <row r="931">
      <c r="E931" s="79"/>
    </row>
    <row r="932">
      <c r="E932" s="79"/>
    </row>
    <row r="933">
      <c r="E933" s="79"/>
    </row>
    <row r="934">
      <c r="E934" s="79"/>
    </row>
    <row r="935">
      <c r="E935" s="79"/>
    </row>
    <row r="936">
      <c r="E936" s="79"/>
    </row>
    <row r="937">
      <c r="E937" s="79"/>
    </row>
    <row r="938">
      <c r="E938" s="79"/>
    </row>
    <row r="939">
      <c r="E939" s="79"/>
    </row>
    <row r="940">
      <c r="E940" s="79"/>
    </row>
    <row r="941">
      <c r="E941" s="79"/>
    </row>
    <row r="942">
      <c r="E942" s="79"/>
    </row>
    <row r="943">
      <c r="E943" s="79"/>
    </row>
    <row r="944">
      <c r="E944" s="79"/>
    </row>
    <row r="945">
      <c r="E945" s="79"/>
    </row>
    <row r="946">
      <c r="E946" s="79"/>
    </row>
    <row r="947">
      <c r="E947" s="79"/>
    </row>
    <row r="948">
      <c r="E948" s="79"/>
    </row>
    <row r="949">
      <c r="E949" s="79"/>
    </row>
    <row r="950">
      <c r="E950" s="79"/>
    </row>
    <row r="951">
      <c r="E951" s="79"/>
    </row>
    <row r="952">
      <c r="E952" s="79"/>
    </row>
    <row r="953">
      <c r="E953" s="79"/>
    </row>
    <row r="954">
      <c r="E954" s="79"/>
    </row>
    <row r="955">
      <c r="E955" s="79"/>
    </row>
    <row r="956">
      <c r="E956" s="79"/>
    </row>
    <row r="957">
      <c r="E957" s="79"/>
    </row>
    <row r="958">
      <c r="E958" s="79"/>
    </row>
    <row r="959">
      <c r="E959" s="79"/>
    </row>
    <row r="960">
      <c r="E960" s="79"/>
    </row>
    <row r="961">
      <c r="E961" s="79"/>
    </row>
    <row r="962">
      <c r="E962" s="79"/>
    </row>
    <row r="963">
      <c r="E963" s="79"/>
    </row>
    <row r="964">
      <c r="E964" s="79"/>
    </row>
    <row r="965">
      <c r="E965" s="79"/>
    </row>
    <row r="966">
      <c r="E966" s="79"/>
    </row>
    <row r="967">
      <c r="E967" s="79"/>
    </row>
    <row r="968">
      <c r="E968" s="79"/>
    </row>
    <row r="969">
      <c r="E969" s="79"/>
    </row>
    <row r="970">
      <c r="E970" s="79"/>
    </row>
    <row r="971">
      <c r="E971" s="79"/>
    </row>
    <row r="972">
      <c r="E972" s="79"/>
    </row>
    <row r="973">
      <c r="E973" s="79"/>
    </row>
    <row r="974">
      <c r="E974" s="79"/>
    </row>
    <row r="975">
      <c r="E975" s="79"/>
    </row>
    <row r="976">
      <c r="E976" s="79"/>
    </row>
    <row r="977">
      <c r="E977" s="79"/>
    </row>
    <row r="978">
      <c r="E978" s="79"/>
    </row>
    <row r="979">
      <c r="E979" s="79"/>
    </row>
    <row r="980">
      <c r="E980" s="79"/>
    </row>
    <row r="981">
      <c r="E981" s="79"/>
    </row>
    <row r="982">
      <c r="E982" s="79"/>
    </row>
    <row r="983">
      <c r="E983" s="79"/>
    </row>
    <row r="984">
      <c r="E984" s="79"/>
    </row>
    <row r="985">
      <c r="E985" s="79"/>
    </row>
    <row r="986">
      <c r="E986" s="79"/>
    </row>
    <row r="987">
      <c r="E987" s="79"/>
    </row>
    <row r="988">
      <c r="E988" s="79"/>
    </row>
    <row r="989">
      <c r="E989" s="79"/>
    </row>
    <row r="990">
      <c r="E990" s="79"/>
    </row>
    <row r="991">
      <c r="E991" s="79"/>
    </row>
    <row r="992">
      <c r="E992" s="79"/>
    </row>
    <row r="993">
      <c r="E993" s="79"/>
    </row>
    <row r="994">
      <c r="E994" s="79"/>
    </row>
    <row r="995">
      <c r="E995" s="79"/>
    </row>
    <row r="996">
      <c r="E996" s="79"/>
    </row>
    <row r="997">
      <c r="E997" s="79"/>
    </row>
    <row r="998">
      <c r="E998" s="79"/>
    </row>
    <row r="999">
      <c r="E999" s="79"/>
    </row>
    <row r="1000">
      <c r="E1000" s="79"/>
    </row>
    <row r="1001">
      <c r="E1001" s="79"/>
    </row>
    <row r="1002">
      <c r="E1002" s="79"/>
    </row>
    <row r="1003">
      <c r="E1003" s="79"/>
    </row>
    <row r="1004">
      <c r="E1004" s="79"/>
    </row>
    <row r="1005">
      <c r="E1005" s="79"/>
    </row>
    <row r="1006">
      <c r="E1006" s="79"/>
    </row>
    <row r="1007">
      <c r="E1007" s="79"/>
    </row>
    <row r="1008">
      <c r="E1008" s="79"/>
    </row>
    <row r="1009">
      <c r="E1009" s="79"/>
    </row>
    <row r="1010">
      <c r="E1010" s="79"/>
    </row>
    <row r="1011">
      <c r="E1011" s="79"/>
    </row>
    <row r="1012">
      <c r="E1012" s="79"/>
    </row>
    <row r="1013">
      <c r="E1013" s="79"/>
    </row>
    <row r="1014">
      <c r="E1014" s="79"/>
    </row>
    <row r="1015">
      <c r="E1015" s="79"/>
    </row>
    <row r="1016">
      <c r="E1016" s="79"/>
    </row>
    <row r="1017">
      <c r="E1017" s="79"/>
    </row>
    <row r="1018">
      <c r="E1018" s="79"/>
    </row>
    <row r="1019">
      <c r="E1019" s="79"/>
    </row>
    <row r="1020">
      <c r="E1020" s="79"/>
    </row>
    <row r="1021">
      <c r="E1021" s="79"/>
    </row>
    <row r="1022">
      <c r="E1022" s="79"/>
    </row>
    <row r="1023">
      <c r="E1023" s="79"/>
    </row>
    <row r="1024">
      <c r="E1024" s="79"/>
    </row>
    <row r="1025">
      <c r="E1025" s="79"/>
    </row>
    <row r="1026">
      <c r="E1026" s="79"/>
    </row>
    <row r="1027">
      <c r="E1027" s="79"/>
    </row>
    <row r="1028">
      <c r="E1028" s="79"/>
    </row>
    <row r="1029">
      <c r="E1029" s="79"/>
    </row>
    <row r="1030">
      <c r="E1030" s="79"/>
    </row>
    <row r="1031">
      <c r="E1031" s="79"/>
    </row>
    <row r="1032">
      <c r="E1032" s="79"/>
    </row>
    <row r="1033">
      <c r="E1033" s="79"/>
    </row>
    <row r="1034">
      <c r="E1034" s="79"/>
    </row>
    <row r="1035">
      <c r="E1035" s="79"/>
    </row>
    <row r="1036">
      <c r="E1036" s="79"/>
    </row>
    <row r="1037">
      <c r="E1037" s="79"/>
    </row>
    <row r="1038">
      <c r="E1038" s="79"/>
    </row>
    <row r="1039">
      <c r="E1039" s="79"/>
    </row>
    <row r="1040">
      <c r="E1040" s="79"/>
    </row>
    <row r="1041">
      <c r="E1041" s="79"/>
    </row>
    <row r="1042">
      <c r="E1042" s="79"/>
    </row>
    <row r="1043">
      <c r="E1043" s="79"/>
    </row>
    <row r="1044">
      <c r="E1044" s="79"/>
    </row>
    <row r="1045">
      <c r="E1045" s="79"/>
    </row>
    <row r="1046">
      <c r="E1046" s="79"/>
    </row>
    <row r="1047">
      <c r="E1047" s="79"/>
    </row>
    <row r="1048">
      <c r="E1048" s="79"/>
    </row>
    <row r="1049">
      <c r="E1049" s="79"/>
    </row>
    <row r="1050">
      <c r="E1050" s="79"/>
    </row>
    <row r="1051">
      <c r="E1051" s="79"/>
    </row>
    <row r="1052">
      <c r="E1052" s="79"/>
    </row>
    <row r="1053">
      <c r="E1053" s="79"/>
    </row>
    <row r="1054">
      <c r="E1054" s="79"/>
    </row>
    <row r="1055">
      <c r="E1055" s="79"/>
    </row>
    <row r="1056">
      <c r="E1056" s="79"/>
    </row>
    <row r="1057">
      <c r="E1057" s="79"/>
    </row>
    <row r="1058">
      <c r="E1058" s="79"/>
    </row>
    <row r="1059">
      <c r="E1059" s="79"/>
    </row>
    <row r="1060">
      <c r="E1060" s="79"/>
    </row>
  </sheetData>
  <mergeCells count="14">
    <mergeCell ref="A53:A65"/>
    <mergeCell ref="A70:A82"/>
    <mergeCell ref="B70:B82"/>
    <mergeCell ref="A87:A99"/>
    <mergeCell ref="B87:B99"/>
    <mergeCell ref="A104:A116"/>
    <mergeCell ref="B104:B116"/>
    <mergeCell ref="A2:A14"/>
    <mergeCell ref="B2:B14"/>
    <mergeCell ref="A19:A31"/>
    <mergeCell ref="B19:B31"/>
    <mergeCell ref="A36:A48"/>
    <mergeCell ref="B36:B48"/>
    <mergeCell ref="B53:B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2.25"/>
    <col customWidth="1" min="3" max="3" width="24.0"/>
  </cols>
  <sheetData>
    <row r="1">
      <c r="A1" s="1" t="s">
        <v>0</v>
      </c>
      <c r="B1" s="1" t="s">
        <v>1</v>
      </c>
      <c r="C1" s="1" t="s">
        <v>3</v>
      </c>
      <c r="D1" s="1" t="s">
        <v>46</v>
      </c>
      <c r="E1" s="6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11</v>
      </c>
      <c r="B2" s="2" t="s">
        <v>12</v>
      </c>
      <c r="C2" s="34" t="s">
        <v>54</v>
      </c>
      <c r="D2" s="35" t="s">
        <v>69</v>
      </c>
      <c r="E2" s="66">
        <v>0.59</v>
      </c>
      <c r="F2" s="67">
        <v>0.69</v>
      </c>
      <c r="G2" s="67">
        <v>0.45</v>
      </c>
      <c r="H2" s="67">
        <v>0.9</v>
      </c>
      <c r="I2" s="67">
        <v>394.0</v>
      </c>
      <c r="J2" s="35">
        <v>1008.0</v>
      </c>
      <c r="K2" s="35">
        <v>3949.0</v>
      </c>
    </row>
    <row r="3" ht="25.5" customHeight="1">
      <c r="A3" s="5"/>
      <c r="B3" s="5"/>
      <c r="C3" s="34" t="s">
        <v>53</v>
      </c>
      <c r="D3" s="35" t="s">
        <v>69</v>
      </c>
      <c r="E3" s="66">
        <v>0.565</v>
      </c>
      <c r="F3" s="67">
        <v>0.719</v>
      </c>
      <c r="G3" s="67">
        <v>0.639</v>
      </c>
      <c r="H3" s="67">
        <v>0.837</v>
      </c>
      <c r="I3" s="67">
        <v>194.0</v>
      </c>
      <c r="J3" s="35">
        <v>1832.0</v>
      </c>
      <c r="K3" s="35">
        <v>3690.0</v>
      </c>
    </row>
    <row r="4" ht="25.5" customHeight="1">
      <c r="A4" s="5"/>
      <c r="B4" s="5"/>
      <c r="C4" s="34" t="s">
        <v>47</v>
      </c>
      <c r="D4" s="35" t="s">
        <v>69</v>
      </c>
      <c r="E4" s="66">
        <v>0.624</v>
      </c>
      <c r="F4" s="67">
        <v>0.711</v>
      </c>
      <c r="G4" s="67">
        <v>0.638</v>
      </c>
      <c r="H4" s="67">
        <v>0.9</v>
      </c>
      <c r="I4" s="67">
        <v>110.0</v>
      </c>
      <c r="J4" s="35">
        <v>1041.0</v>
      </c>
      <c r="K4" s="35">
        <v>3789.0</v>
      </c>
    </row>
    <row r="5" ht="25.5" customHeight="1">
      <c r="A5" s="5"/>
      <c r="B5" s="5"/>
      <c r="C5" s="34" t="s">
        <v>49</v>
      </c>
      <c r="D5" s="35" t="s">
        <v>69</v>
      </c>
      <c r="E5" s="66">
        <v>0.606</v>
      </c>
      <c r="F5" s="67">
        <v>0.713</v>
      </c>
      <c r="G5" s="67">
        <v>0.611</v>
      </c>
      <c r="H5" s="67">
        <v>0.882</v>
      </c>
      <c r="I5" s="67">
        <v>153.0</v>
      </c>
      <c r="J5" s="35">
        <v>1251.0</v>
      </c>
      <c r="K5" s="35">
        <v>3774.0</v>
      </c>
    </row>
    <row r="6" ht="25.5" customHeight="1">
      <c r="A6" s="5"/>
      <c r="B6" s="5"/>
      <c r="C6" s="34" t="s">
        <v>55</v>
      </c>
      <c r="D6" s="35" t="s">
        <v>69</v>
      </c>
      <c r="E6" s="68">
        <v>0.59</v>
      </c>
      <c r="F6" s="67">
        <v>0.71</v>
      </c>
      <c r="G6" s="67">
        <v>0.73</v>
      </c>
      <c r="H6" s="67">
        <v>0.87</v>
      </c>
      <c r="I6" s="67">
        <v>82.0</v>
      </c>
      <c r="J6" s="35">
        <v>1391.0</v>
      </c>
      <c r="K6" s="35">
        <v>3796.0</v>
      </c>
    </row>
    <row r="7" ht="25.5" customHeight="1">
      <c r="A7" s="5"/>
      <c r="B7" s="5"/>
      <c r="C7" s="34" t="s">
        <v>34</v>
      </c>
      <c r="D7" s="35" t="s">
        <v>69</v>
      </c>
      <c r="E7" s="67">
        <v>0.58</v>
      </c>
      <c r="F7" s="67">
        <v>0.76</v>
      </c>
      <c r="G7" s="67">
        <v>0.602</v>
      </c>
      <c r="H7" s="67">
        <v>0.944</v>
      </c>
      <c r="I7" s="67">
        <v>176.0</v>
      </c>
      <c r="J7" s="35">
        <v>529.0</v>
      </c>
      <c r="K7" s="35">
        <v>2676.0</v>
      </c>
    </row>
    <row r="8" ht="25.5" customHeight="1">
      <c r="A8" s="5"/>
      <c r="B8" s="5"/>
      <c r="C8" s="34" t="s">
        <v>47</v>
      </c>
      <c r="D8" s="35" t="s">
        <v>56</v>
      </c>
      <c r="E8" s="67">
        <v>0.651</v>
      </c>
      <c r="F8" s="67">
        <v>0.68</v>
      </c>
      <c r="G8" s="67">
        <v>0.7</v>
      </c>
      <c r="H8" s="67">
        <v>0.966</v>
      </c>
      <c r="I8" s="67">
        <v>114.0</v>
      </c>
      <c r="J8" s="35">
        <v>312.0</v>
      </c>
      <c r="K8" s="35">
        <v>4156.0</v>
      </c>
    </row>
    <row r="9" ht="27.75" customHeight="1">
      <c r="A9" s="5"/>
      <c r="B9" s="5"/>
      <c r="C9" s="34" t="s">
        <v>49</v>
      </c>
      <c r="D9" s="35" t="s">
        <v>56</v>
      </c>
      <c r="E9" s="35">
        <v>0.651</v>
      </c>
      <c r="F9" s="35" t="s">
        <v>50</v>
      </c>
      <c r="G9" s="35" t="s">
        <v>51</v>
      </c>
      <c r="H9" s="35" t="s">
        <v>52</v>
      </c>
      <c r="I9" s="35">
        <v>103.0</v>
      </c>
      <c r="J9" s="35">
        <v>304.0</v>
      </c>
      <c r="K9" s="35">
        <v>4171.0</v>
      </c>
    </row>
    <row r="10" ht="27.75" customHeight="1">
      <c r="A10" s="5"/>
      <c r="B10" s="5"/>
      <c r="C10" s="34" t="s">
        <v>53</v>
      </c>
      <c r="D10" s="35" t="s">
        <v>56</v>
      </c>
      <c r="E10" s="35">
        <v>0.644</v>
      </c>
      <c r="F10" s="35">
        <v>0.68</v>
      </c>
      <c r="G10" s="35">
        <v>0.61</v>
      </c>
      <c r="H10" s="35">
        <v>0.967</v>
      </c>
      <c r="I10" s="35">
        <v>195.0</v>
      </c>
      <c r="J10" s="35">
        <v>301.0</v>
      </c>
      <c r="K10" s="35">
        <v>4175.0</v>
      </c>
    </row>
    <row r="11" ht="27.75" customHeight="1">
      <c r="A11" s="5"/>
      <c r="B11" s="5"/>
      <c r="C11" s="34" t="s">
        <v>54</v>
      </c>
      <c r="D11" s="35" t="s">
        <v>56</v>
      </c>
      <c r="E11" s="67">
        <v>0.63</v>
      </c>
      <c r="F11" s="67">
        <v>0.68</v>
      </c>
      <c r="G11" s="67">
        <v>0.501</v>
      </c>
      <c r="H11" s="67">
        <v>0.965</v>
      </c>
      <c r="I11" s="67">
        <v>359.0</v>
      </c>
      <c r="J11" s="35">
        <v>305.0</v>
      </c>
      <c r="K11" s="35">
        <v>4165.0</v>
      </c>
    </row>
    <row r="12" ht="27.75" customHeight="1">
      <c r="A12" s="5"/>
      <c r="B12" s="5"/>
      <c r="C12" s="34" t="s">
        <v>55</v>
      </c>
      <c r="D12" s="35" t="s">
        <v>56</v>
      </c>
      <c r="E12" s="35">
        <v>0.647</v>
      </c>
      <c r="F12" s="35">
        <v>0.67</v>
      </c>
      <c r="G12" s="35">
        <v>0.72</v>
      </c>
      <c r="H12" s="35">
        <v>0.967</v>
      </c>
      <c r="I12" s="35">
        <v>37.0</v>
      </c>
      <c r="J12" s="35">
        <v>300.0</v>
      </c>
      <c r="K12" s="35">
        <v>4328.0</v>
      </c>
    </row>
    <row r="13" ht="27.75" customHeight="1">
      <c r="A13" s="5"/>
      <c r="B13" s="5"/>
      <c r="C13" s="34" t="s">
        <v>34</v>
      </c>
      <c r="D13" s="35" t="s">
        <v>56</v>
      </c>
      <c r="E13" s="35">
        <v>0.647</v>
      </c>
      <c r="F13" s="35">
        <v>0.67</v>
      </c>
      <c r="G13" s="35">
        <v>0.72</v>
      </c>
      <c r="H13" s="35">
        <v>0.963</v>
      </c>
      <c r="I13" s="35">
        <v>64.0</v>
      </c>
      <c r="J13" s="35">
        <v>339.0</v>
      </c>
      <c r="K13" s="35">
        <v>4236.0</v>
      </c>
      <c r="L13" s="69">
        <v>55.0</v>
      </c>
    </row>
    <row r="14" ht="27.75" customHeight="1">
      <c r="A14" s="7"/>
      <c r="B14" s="7"/>
      <c r="C14" s="34" t="s">
        <v>70</v>
      </c>
      <c r="D14" s="35" t="s">
        <v>48</v>
      </c>
      <c r="E14" s="42">
        <v>0.471</v>
      </c>
      <c r="F14" s="42">
        <v>0.499</v>
      </c>
      <c r="G14" s="42">
        <v>0.848</v>
      </c>
      <c r="H14" s="42">
        <v>0.952</v>
      </c>
      <c r="I14" s="70">
        <v>75.0</v>
      </c>
      <c r="J14" s="70">
        <v>633.0</v>
      </c>
      <c r="K14" s="70">
        <v>12731.0</v>
      </c>
    </row>
    <row r="15" ht="27.75" customHeight="1">
      <c r="A15" s="36"/>
      <c r="B15" s="36"/>
      <c r="C15" s="34" t="s">
        <v>71</v>
      </c>
      <c r="D15" s="35" t="s">
        <v>72</v>
      </c>
      <c r="E15" s="42">
        <v>0.45</v>
      </c>
      <c r="F15" s="42">
        <v>0.514</v>
      </c>
      <c r="G15" s="42">
        <v>0.784</v>
      </c>
      <c r="H15" s="42">
        <v>0.897</v>
      </c>
      <c r="I15" s="70">
        <v>131.0</v>
      </c>
      <c r="J15" s="70">
        <v>1494.0</v>
      </c>
      <c r="K15" s="70">
        <v>12354.0</v>
      </c>
    </row>
    <row r="16" ht="27.75" customHeight="1">
      <c r="A16" s="36"/>
      <c r="B16" s="36"/>
      <c r="C16" s="34" t="s">
        <v>73</v>
      </c>
      <c r="D16" s="35" t="s">
        <v>48</v>
      </c>
      <c r="E16" s="42">
        <v>0.681</v>
      </c>
      <c r="F16" s="35">
        <v>0.74</v>
      </c>
      <c r="G16" s="35">
        <v>0.65</v>
      </c>
      <c r="H16" s="35">
        <v>0.934</v>
      </c>
      <c r="I16" s="35">
        <v>100.0</v>
      </c>
      <c r="J16" s="35">
        <v>877.0</v>
      </c>
      <c r="K16" s="35">
        <v>4363.0</v>
      </c>
    </row>
    <row r="17" ht="27.75" customHeight="1">
      <c r="A17" s="36"/>
      <c r="B17" s="36"/>
      <c r="C17" s="37"/>
      <c r="D17" s="38"/>
      <c r="E17" s="71"/>
      <c r="F17" s="38"/>
      <c r="G17" s="38"/>
      <c r="H17" s="38"/>
      <c r="I17" s="38"/>
      <c r="J17" s="38"/>
      <c r="K17" s="38"/>
    </row>
    <row r="18">
      <c r="A18" s="1" t="s">
        <v>0</v>
      </c>
      <c r="B18" s="1" t="s">
        <v>1</v>
      </c>
      <c r="C18" s="1" t="s">
        <v>3</v>
      </c>
      <c r="D18" s="1" t="s">
        <v>46</v>
      </c>
      <c r="E18" s="65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ht="25.5" customHeight="1">
      <c r="A19" s="2" t="s">
        <v>11</v>
      </c>
      <c r="B19" s="2" t="s">
        <v>17</v>
      </c>
      <c r="C19" s="34" t="s">
        <v>54</v>
      </c>
      <c r="D19" s="35" t="s">
        <v>69</v>
      </c>
      <c r="E19" s="66">
        <v>0.59</v>
      </c>
      <c r="F19" s="67">
        <v>0.73</v>
      </c>
      <c r="G19" s="67">
        <v>0.63</v>
      </c>
      <c r="H19" s="67">
        <v>0.84</v>
      </c>
      <c r="I19" s="70">
        <v>350.0</v>
      </c>
      <c r="J19" s="35">
        <v>6293.0</v>
      </c>
      <c r="K19" s="35">
        <v>12717.0</v>
      </c>
    </row>
    <row r="20" ht="25.5" customHeight="1">
      <c r="A20" s="5"/>
      <c r="B20" s="5"/>
      <c r="C20" s="34" t="s">
        <v>53</v>
      </c>
      <c r="D20" s="35" t="s">
        <v>69</v>
      </c>
      <c r="E20" s="66">
        <v>0.59</v>
      </c>
      <c r="F20" s="67">
        <v>0.74</v>
      </c>
      <c r="G20" s="67">
        <v>0.82</v>
      </c>
      <c r="H20" s="67" t="s">
        <v>37</v>
      </c>
      <c r="I20" s="70">
        <v>175.0</v>
      </c>
      <c r="J20" s="35">
        <v>7000.0</v>
      </c>
      <c r="K20" s="35">
        <v>12185.0</v>
      </c>
    </row>
    <row r="21" ht="25.5" customHeight="1">
      <c r="A21" s="5"/>
      <c r="B21" s="5"/>
      <c r="C21" s="34" t="s">
        <v>47</v>
      </c>
      <c r="D21" s="35" t="s">
        <v>69</v>
      </c>
      <c r="E21" s="66">
        <v>0.61</v>
      </c>
      <c r="F21" s="67">
        <v>0.74</v>
      </c>
      <c r="G21" s="67">
        <v>0.81</v>
      </c>
      <c r="H21" s="67">
        <v>0.85</v>
      </c>
      <c r="I21" s="70">
        <v>150.0</v>
      </c>
      <c r="J21" s="35">
        <v>6023.0</v>
      </c>
      <c r="K21" s="35">
        <v>12247.0</v>
      </c>
    </row>
    <row r="22" ht="25.5" customHeight="1">
      <c r="A22" s="5"/>
      <c r="B22" s="5"/>
      <c r="C22" s="34" t="s">
        <v>49</v>
      </c>
      <c r="D22" s="35" t="s">
        <v>69</v>
      </c>
      <c r="E22" s="66">
        <v>0.612</v>
      </c>
      <c r="F22" s="67">
        <v>0.741</v>
      </c>
      <c r="G22" s="67">
        <v>0.79</v>
      </c>
      <c r="H22" s="67">
        <v>0.85</v>
      </c>
      <c r="I22" s="70">
        <v>150.0</v>
      </c>
      <c r="J22" s="35">
        <v>5962.0</v>
      </c>
      <c r="K22" s="35">
        <v>12248.0</v>
      </c>
    </row>
    <row r="23" ht="25.5" customHeight="1">
      <c r="A23" s="5"/>
      <c r="B23" s="5"/>
      <c r="C23" s="34" t="s">
        <v>55</v>
      </c>
      <c r="D23" s="35" t="s">
        <v>69</v>
      </c>
      <c r="E23" s="66">
        <v>0.58</v>
      </c>
      <c r="F23" s="67">
        <v>0.75</v>
      </c>
      <c r="G23" s="67">
        <v>0.85</v>
      </c>
      <c r="H23" s="67">
        <v>0.81</v>
      </c>
      <c r="I23" s="70">
        <v>60.0</v>
      </c>
      <c r="J23" s="35">
        <v>8300.0</v>
      </c>
      <c r="K23" s="35">
        <v>11.534</v>
      </c>
    </row>
    <row r="24" ht="25.5" customHeight="1">
      <c r="A24" s="5"/>
      <c r="B24" s="5"/>
      <c r="C24" s="34" t="s">
        <v>34</v>
      </c>
      <c r="D24" s="35" t="s">
        <v>69</v>
      </c>
      <c r="E24" s="67">
        <v>0.61</v>
      </c>
      <c r="F24" s="67">
        <v>0.75</v>
      </c>
      <c r="G24" s="67">
        <v>0.89</v>
      </c>
      <c r="H24" s="67">
        <v>0.83</v>
      </c>
      <c r="I24" s="70">
        <v>21.0</v>
      </c>
      <c r="J24" s="35">
        <v>7031.0</v>
      </c>
      <c r="K24" s="35">
        <v>11420.0</v>
      </c>
    </row>
    <row r="25" ht="25.5" customHeight="1">
      <c r="A25" s="5"/>
      <c r="B25" s="5"/>
      <c r="C25" s="34" t="s">
        <v>47</v>
      </c>
      <c r="D25" s="35" t="s">
        <v>56</v>
      </c>
      <c r="E25" s="67">
        <v>0.608</v>
      </c>
      <c r="F25" s="67">
        <v>0.72</v>
      </c>
      <c r="G25" s="67">
        <v>0.83</v>
      </c>
      <c r="H25" s="67">
        <v>0.86</v>
      </c>
      <c r="I25" s="70">
        <v>168.0</v>
      </c>
      <c r="J25" s="35">
        <v>5487.0</v>
      </c>
      <c r="K25" s="35">
        <v>12914.0</v>
      </c>
    </row>
    <row r="26" ht="27.75" customHeight="1">
      <c r="A26" s="5"/>
      <c r="B26" s="5"/>
      <c r="C26" s="34" t="s">
        <v>49</v>
      </c>
      <c r="D26" s="35" t="s">
        <v>56</v>
      </c>
      <c r="E26" s="35">
        <v>0.608</v>
      </c>
      <c r="F26" s="35" t="s">
        <v>36</v>
      </c>
      <c r="G26" s="35" t="s">
        <v>39</v>
      </c>
      <c r="H26" s="35" t="s">
        <v>57</v>
      </c>
      <c r="I26" s="70">
        <v>157.0</v>
      </c>
      <c r="J26" s="35">
        <v>5483.0</v>
      </c>
      <c r="K26" s="35">
        <v>12915.0</v>
      </c>
    </row>
    <row r="27" ht="27.75" customHeight="1">
      <c r="A27" s="5"/>
      <c r="B27" s="5"/>
      <c r="C27" s="34" t="s">
        <v>53</v>
      </c>
      <c r="D27" s="35" t="s">
        <v>56</v>
      </c>
      <c r="E27" s="35">
        <v>0.607</v>
      </c>
      <c r="F27" s="35">
        <v>0.72</v>
      </c>
      <c r="G27" s="35">
        <v>0.78</v>
      </c>
      <c r="H27" s="35">
        <v>0.86</v>
      </c>
      <c r="I27" s="70">
        <v>209.0</v>
      </c>
      <c r="J27" s="35">
        <v>5486.0</v>
      </c>
      <c r="K27" s="35">
        <v>12914.0</v>
      </c>
    </row>
    <row r="28" ht="27.75" customHeight="1">
      <c r="A28" s="5"/>
      <c r="B28" s="5"/>
      <c r="C28" s="34" t="s">
        <v>54</v>
      </c>
      <c r="D28" s="35" t="s">
        <v>56</v>
      </c>
      <c r="E28" s="67">
        <v>0.604</v>
      </c>
      <c r="F28" s="67">
        <v>0.72</v>
      </c>
      <c r="G28" s="67">
        <v>0.62</v>
      </c>
      <c r="H28" s="67">
        <v>0.86</v>
      </c>
      <c r="I28" s="70">
        <v>354.0</v>
      </c>
      <c r="J28" s="35">
        <v>5483.0</v>
      </c>
      <c r="K28" s="35">
        <v>12914.0</v>
      </c>
    </row>
    <row r="29" ht="27.75" customHeight="1">
      <c r="A29" s="5"/>
      <c r="B29" s="5"/>
      <c r="C29" s="34" t="s">
        <v>55</v>
      </c>
      <c r="D29" s="35" t="s">
        <v>56</v>
      </c>
      <c r="E29" s="35">
        <v>0.607</v>
      </c>
      <c r="F29" s="35">
        <v>0.73</v>
      </c>
      <c r="G29" s="35" t="s">
        <v>58</v>
      </c>
      <c r="H29" s="35">
        <v>0.85</v>
      </c>
      <c r="I29" s="35">
        <v>7.0</v>
      </c>
      <c r="J29" s="35">
        <v>5338.0</v>
      </c>
      <c r="K29" s="35">
        <v>12291.0</v>
      </c>
    </row>
    <row r="30" ht="27.75" customHeight="1">
      <c r="A30" s="5"/>
      <c r="B30" s="5"/>
      <c r="C30" s="34" t="s">
        <v>34</v>
      </c>
      <c r="D30" s="35" t="s">
        <v>56</v>
      </c>
      <c r="E30" s="35">
        <v>0.607</v>
      </c>
      <c r="F30" s="35" t="s">
        <v>36</v>
      </c>
      <c r="G30" s="35">
        <v>0.84</v>
      </c>
      <c r="H30" s="35" t="s">
        <v>40</v>
      </c>
      <c r="I30" s="35">
        <v>8.0</v>
      </c>
      <c r="J30" s="35">
        <v>5704.0</v>
      </c>
      <c r="K30" s="35">
        <v>12895.0</v>
      </c>
      <c r="L30" s="69">
        <v>47.0</v>
      </c>
    </row>
    <row r="31" ht="27.75" customHeight="1">
      <c r="A31" s="7"/>
      <c r="B31" s="7"/>
      <c r="C31" s="34" t="s">
        <v>70</v>
      </c>
      <c r="D31" s="35" t="s">
        <v>48</v>
      </c>
      <c r="E31" s="42">
        <v>0.698</v>
      </c>
      <c r="F31" s="42">
        <v>0.817</v>
      </c>
      <c r="G31" s="42">
        <v>0.97</v>
      </c>
      <c r="H31" s="42">
        <v>0.873</v>
      </c>
      <c r="I31" s="70">
        <v>13.0</v>
      </c>
      <c r="J31" s="70">
        <v>6209.0</v>
      </c>
      <c r="K31" s="70">
        <v>9564.0</v>
      </c>
    </row>
    <row r="32" ht="27.75" customHeight="1">
      <c r="A32" s="36"/>
      <c r="B32" s="36"/>
      <c r="C32" s="34" t="s">
        <v>71</v>
      </c>
      <c r="D32" s="35" t="s">
        <v>72</v>
      </c>
      <c r="E32" s="42">
        <v>0.702</v>
      </c>
      <c r="F32" s="42" t="s">
        <v>60</v>
      </c>
      <c r="G32" s="42">
        <v>0.971</v>
      </c>
      <c r="H32" s="42">
        <v>0.874</v>
      </c>
      <c r="I32" s="70">
        <v>14.0</v>
      </c>
      <c r="J32" s="70">
        <v>6202.0</v>
      </c>
      <c r="K32" s="70">
        <v>9339.0</v>
      </c>
    </row>
    <row r="33" ht="27.75" customHeight="1">
      <c r="A33" s="36"/>
      <c r="B33" s="36"/>
      <c r="C33" s="34" t="s">
        <v>73</v>
      </c>
      <c r="D33" s="35" t="s">
        <v>48</v>
      </c>
      <c r="E33" s="42">
        <v>0.655</v>
      </c>
      <c r="F33" s="35">
        <v>0.759</v>
      </c>
      <c r="G33" s="35">
        <v>0.748</v>
      </c>
      <c r="H33" s="35">
        <v>0.878</v>
      </c>
      <c r="I33" s="35">
        <v>46.0</v>
      </c>
      <c r="J33" s="35">
        <v>3755.0</v>
      </c>
      <c r="K33" s="35">
        <v>8870.0</v>
      </c>
    </row>
    <row r="34" ht="27.75" customHeight="1">
      <c r="A34" s="36"/>
      <c r="B34" s="36"/>
      <c r="C34" s="37"/>
      <c r="D34" s="38"/>
      <c r="E34" s="71"/>
      <c r="F34" s="38"/>
      <c r="G34" s="38"/>
      <c r="H34" s="38"/>
      <c r="I34" s="38"/>
      <c r="J34" s="38"/>
      <c r="K34" s="38"/>
    </row>
    <row r="35">
      <c r="A35" s="1" t="s">
        <v>0</v>
      </c>
      <c r="B35" s="1" t="s">
        <v>1</v>
      </c>
      <c r="C35" s="1" t="s">
        <v>3</v>
      </c>
      <c r="D35" s="1" t="s">
        <v>46</v>
      </c>
      <c r="E35" s="65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ht="25.5" customHeight="1">
      <c r="A36" s="2" t="s">
        <v>11</v>
      </c>
      <c r="B36" s="2" t="s">
        <v>18</v>
      </c>
      <c r="C36" s="34" t="s">
        <v>54</v>
      </c>
      <c r="D36" s="35" t="s">
        <v>69</v>
      </c>
      <c r="E36" s="66">
        <v>0.511</v>
      </c>
      <c r="F36" s="67">
        <v>0.804</v>
      </c>
      <c r="G36" s="67">
        <v>0.549</v>
      </c>
      <c r="H36" s="67">
        <v>0.764</v>
      </c>
      <c r="I36" s="67">
        <v>249.0</v>
      </c>
      <c r="J36" s="35">
        <v>1369.0</v>
      </c>
      <c r="K36" s="35">
        <v>1082.0</v>
      </c>
    </row>
    <row r="37" ht="25.5" customHeight="1">
      <c r="A37" s="5"/>
      <c r="B37" s="5"/>
      <c r="C37" s="34" t="s">
        <v>53</v>
      </c>
      <c r="D37" s="35" t="s">
        <v>69</v>
      </c>
      <c r="E37" s="66">
        <v>0.302</v>
      </c>
      <c r="F37" s="67">
        <v>0.818</v>
      </c>
      <c r="G37" s="67">
        <v>0.8</v>
      </c>
      <c r="H37" s="67">
        <v>0.62</v>
      </c>
      <c r="I37" s="67">
        <v>101.0</v>
      </c>
      <c r="J37" s="35">
        <v>2750.0</v>
      </c>
      <c r="K37" s="35">
        <v>1007.0</v>
      </c>
    </row>
    <row r="38" ht="25.5" customHeight="1">
      <c r="A38" s="5"/>
      <c r="B38" s="5"/>
      <c r="C38" s="34" t="s">
        <v>47</v>
      </c>
      <c r="D38" s="35" t="s">
        <v>69</v>
      </c>
      <c r="E38" s="66">
        <v>0.535</v>
      </c>
      <c r="F38" s="67">
        <v>0.817</v>
      </c>
      <c r="G38" s="67">
        <v>0.73</v>
      </c>
      <c r="H38" s="67">
        <v>0.755</v>
      </c>
      <c r="I38" s="67">
        <v>91.0</v>
      </c>
      <c r="J38" s="35">
        <v>1465.0</v>
      </c>
      <c r="K38" s="35">
        <v>1013.0</v>
      </c>
    </row>
    <row r="39" ht="25.5" customHeight="1">
      <c r="A39" s="5"/>
      <c r="B39" s="5"/>
      <c r="C39" s="34" t="s">
        <v>49</v>
      </c>
      <c r="D39" s="35" t="s">
        <v>69</v>
      </c>
      <c r="E39" s="66">
        <v>0.524</v>
      </c>
      <c r="F39" s="67">
        <v>0.815</v>
      </c>
      <c r="G39" s="67">
        <v>0.734</v>
      </c>
      <c r="H39" s="67">
        <v>0.747</v>
      </c>
      <c r="I39" s="67">
        <v>87.0</v>
      </c>
      <c r="J39" s="35">
        <v>1524.0</v>
      </c>
      <c r="K39" s="35">
        <v>1022.0</v>
      </c>
    </row>
    <row r="40" ht="25.5" customHeight="1">
      <c r="A40" s="5"/>
      <c r="B40" s="5"/>
      <c r="C40" s="34" t="s">
        <v>55</v>
      </c>
      <c r="D40" s="35" t="s">
        <v>69</v>
      </c>
      <c r="E40" s="68">
        <v>0.668</v>
      </c>
      <c r="F40" s="67">
        <v>0.801</v>
      </c>
      <c r="G40" s="67">
        <v>0.87</v>
      </c>
      <c r="H40" s="67">
        <v>0.869</v>
      </c>
      <c r="I40" s="67">
        <v>70.0</v>
      </c>
      <c r="J40" s="35">
        <v>667.0</v>
      </c>
      <c r="K40" s="35">
        <v>1100.0</v>
      </c>
    </row>
    <row r="41" ht="25.5" customHeight="1">
      <c r="A41" s="5"/>
      <c r="B41" s="5"/>
      <c r="C41" s="34" t="s">
        <v>34</v>
      </c>
      <c r="D41" s="35" t="s">
        <v>69</v>
      </c>
      <c r="E41" s="67">
        <v>0.567</v>
      </c>
      <c r="F41" s="67">
        <v>0.812</v>
      </c>
      <c r="G41" s="67">
        <v>0.836</v>
      </c>
      <c r="H41" s="67">
        <v>0.771</v>
      </c>
      <c r="I41" s="67">
        <v>21.0</v>
      </c>
      <c r="J41" s="35">
        <v>1333.0</v>
      </c>
      <c r="K41" s="35">
        <v>1037.0</v>
      </c>
    </row>
    <row r="42" ht="25.5" customHeight="1">
      <c r="A42" s="5"/>
      <c r="B42" s="5"/>
      <c r="C42" s="34" t="s">
        <v>47</v>
      </c>
      <c r="D42" s="35" t="s">
        <v>56</v>
      </c>
      <c r="E42" s="72">
        <v>0.705</v>
      </c>
      <c r="F42" s="72">
        <v>0.794</v>
      </c>
      <c r="G42" s="72">
        <v>0.826</v>
      </c>
      <c r="H42" s="72">
        <v>0.918</v>
      </c>
      <c r="I42" s="72">
        <v>100.0</v>
      </c>
      <c r="J42" s="39">
        <v>390.0</v>
      </c>
      <c r="K42" s="39">
        <v>1139.0</v>
      </c>
    </row>
    <row r="43" ht="27.75" customHeight="1">
      <c r="A43" s="5"/>
      <c r="B43" s="5"/>
      <c r="C43" s="34" t="s">
        <v>49</v>
      </c>
      <c r="D43" s="35" t="s">
        <v>56</v>
      </c>
      <c r="E43" s="39">
        <v>0.708</v>
      </c>
      <c r="F43" s="39" t="s">
        <v>59</v>
      </c>
      <c r="G43" s="39" t="s">
        <v>40</v>
      </c>
      <c r="H43" s="39">
        <v>0.919</v>
      </c>
      <c r="I43" s="39">
        <v>83.0</v>
      </c>
      <c r="J43" s="39">
        <v>387.0</v>
      </c>
      <c r="K43" s="39">
        <v>1141.0</v>
      </c>
    </row>
    <row r="44" ht="27.75" customHeight="1">
      <c r="A44" s="5"/>
      <c r="B44" s="5"/>
      <c r="C44" s="34" t="s">
        <v>53</v>
      </c>
      <c r="D44" s="35" t="s">
        <v>56</v>
      </c>
      <c r="E44" s="39">
        <v>0.69</v>
      </c>
      <c r="F44" s="39">
        <v>0.794</v>
      </c>
      <c r="G44" s="39">
        <v>0.69</v>
      </c>
      <c r="H44" s="39" t="s">
        <v>61</v>
      </c>
      <c r="I44" s="39">
        <v>164.0</v>
      </c>
      <c r="J44" s="39">
        <v>384.0</v>
      </c>
      <c r="K44" s="39">
        <v>1140.0</v>
      </c>
    </row>
    <row r="45" ht="27.75" customHeight="1">
      <c r="A45" s="5"/>
      <c r="B45" s="5"/>
      <c r="C45" s="34" t="s">
        <v>54</v>
      </c>
      <c r="D45" s="35" t="s">
        <v>56</v>
      </c>
      <c r="E45" s="67">
        <v>0.74</v>
      </c>
      <c r="F45" s="67">
        <v>0.791</v>
      </c>
      <c r="G45" s="67">
        <v>0.49</v>
      </c>
      <c r="H45" s="67">
        <v>0.975</v>
      </c>
      <c r="I45" s="67">
        <v>130.0</v>
      </c>
      <c r="J45" s="35">
        <v>86.0</v>
      </c>
      <c r="K45" s="35">
        <v>906.0</v>
      </c>
    </row>
    <row r="46" ht="27.75" customHeight="1">
      <c r="A46" s="5"/>
      <c r="B46" s="5"/>
      <c r="C46" s="34" t="s">
        <v>55</v>
      </c>
      <c r="D46" s="35" t="s">
        <v>56</v>
      </c>
      <c r="E46" s="39">
        <v>0.704</v>
      </c>
      <c r="F46" s="39">
        <v>0.797</v>
      </c>
      <c r="G46" s="39">
        <v>0.901</v>
      </c>
      <c r="H46" s="39">
        <v>0.904</v>
      </c>
      <c r="I46" s="39">
        <v>46.0</v>
      </c>
      <c r="J46" s="39">
        <v>469.0</v>
      </c>
      <c r="K46" s="39">
        <v>1122.0</v>
      </c>
    </row>
    <row r="47" ht="27.75" customHeight="1">
      <c r="A47" s="5"/>
      <c r="B47" s="5"/>
      <c r="C47" s="34" t="s">
        <v>34</v>
      </c>
      <c r="D47" s="35" t="s">
        <v>56</v>
      </c>
      <c r="E47" s="39">
        <v>0.709</v>
      </c>
      <c r="F47" s="44">
        <v>0.796</v>
      </c>
      <c r="G47" s="39">
        <v>0.82</v>
      </c>
      <c r="H47" s="39">
        <v>0.905</v>
      </c>
      <c r="I47" s="39">
        <v>22.0</v>
      </c>
      <c r="J47" s="39">
        <v>460.0</v>
      </c>
      <c r="K47" s="39">
        <v>1126.0</v>
      </c>
      <c r="L47" s="69">
        <v>50.0</v>
      </c>
    </row>
    <row r="48" ht="27.75" customHeight="1">
      <c r="A48" s="7"/>
      <c r="B48" s="7"/>
      <c r="C48" s="34" t="s">
        <v>70</v>
      </c>
      <c r="D48" s="35" t="s">
        <v>48</v>
      </c>
      <c r="E48" s="42">
        <v>0.625</v>
      </c>
      <c r="F48" s="42">
        <v>0.694</v>
      </c>
      <c r="G48" s="42">
        <v>0.943</v>
      </c>
      <c r="H48" s="42">
        <v>0.91</v>
      </c>
      <c r="I48" s="70">
        <v>33.0</v>
      </c>
      <c r="J48" s="70">
        <v>464.0</v>
      </c>
      <c r="K48" s="70">
        <v>2215.0</v>
      </c>
    </row>
    <row r="49" ht="27.75" customHeight="1">
      <c r="A49" s="36"/>
      <c r="B49" s="36"/>
      <c r="C49" s="34" t="s">
        <v>71</v>
      </c>
      <c r="D49" s="35" t="s">
        <v>72</v>
      </c>
      <c r="E49" s="42">
        <v>0.613</v>
      </c>
      <c r="F49" s="42">
        <v>0.695</v>
      </c>
      <c r="G49" s="42">
        <v>0.961</v>
      </c>
      <c r="H49" s="42">
        <v>0.898</v>
      </c>
      <c r="I49" s="70">
        <v>27.0</v>
      </c>
      <c r="J49" s="70">
        <v>569.0</v>
      </c>
      <c r="K49" s="70">
        <v>2204.0</v>
      </c>
    </row>
    <row r="50" ht="27.75" customHeight="1">
      <c r="A50" s="36"/>
      <c r="B50" s="36"/>
      <c r="C50" s="34" t="s">
        <v>73</v>
      </c>
      <c r="D50" s="35" t="s">
        <v>48</v>
      </c>
      <c r="E50" s="42">
        <v>0.738</v>
      </c>
      <c r="F50" s="35">
        <v>0.852</v>
      </c>
      <c r="G50" s="35">
        <v>0.828</v>
      </c>
      <c r="H50" s="35">
        <v>0.89</v>
      </c>
      <c r="I50" s="35">
        <v>40.0</v>
      </c>
      <c r="J50" s="35">
        <v>504.0</v>
      </c>
      <c r="K50" s="35">
        <v>707.0</v>
      </c>
    </row>
    <row r="51" ht="27.75" customHeight="1">
      <c r="A51" s="36"/>
      <c r="B51" s="36"/>
      <c r="C51" s="37"/>
      <c r="D51" s="38"/>
      <c r="E51" s="71"/>
      <c r="F51" s="38"/>
      <c r="G51" s="38"/>
      <c r="H51" s="38"/>
      <c r="I51" s="38"/>
      <c r="J51" s="38"/>
      <c r="K51" s="38"/>
    </row>
    <row r="52">
      <c r="A52" s="1" t="s">
        <v>0</v>
      </c>
      <c r="B52" s="1" t="s">
        <v>1</v>
      </c>
      <c r="C52" s="1" t="s">
        <v>3</v>
      </c>
      <c r="D52" s="1" t="s">
        <v>46</v>
      </c>
      <c r="E52" s="65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</row>
    <row r="53" ht="25.5" customHeight="1">
      <c r="A53" s="2" t="s">
        <v>11</v>
      </c>
      <c r="B53" s="2" t="s">
        <v>19</v>
      </c>
      <c r="C53" s="34" t="s">
        <v>54</v>
      </c>
      <c r="D53" s="35" t="s">
        <v>69</v>
      </c>
      <c r="E53" s="66">
        <v>0.67</v>
      </c>
      <c r="F53" s="67">
        <v>0.8</v>
      </c>
      <c r="G53" s="67">
        <v>0.47</v>
      </c>
      <c r="H53" s="67">
        <v>0.89</v>
      </c>
      <c r="I53" s="67">
        <v>134.0</v>
      </c>
      <c r="J53" s="35">
        <v>421.0</v>
      </c>
      <c r="K53" s="35">
        <v>854.0</v>
      </c>
    </row>
    <row r="54" ht="25.5" customHeight="1">
      <c r="A54" s="5"/>
      <c r="B54" s="5"/>
      <c r="C54" s="34" t="s">
        <v>53</v>
      </c>
      <c r="D54" s="35" t="s">
        <v>69</v>
      </c>
      <c r="E54" s="66">
        <v>0.65</v>
      </c>
      <c r="F54" s="67">
        <v>0.82</v>
      </c>
      <c r="G54" s="67">
        <v>0.65</v>
      </c>
      <c r="H54" s="67">
        <v>0.84</v>
      </c>
      <c r="I54" s="67">
        <v>70.0</v>
      </c>
      <c r="J54" s="35">
        <v>648.0</v>
      </c>
      <c r="K54" s="35">
        <v>757.0</v>
      </c>
    </row>
    <row r="55" ht="25.5" customHeight="1">
      <c r="A55" s="5"/>
      <c r="B55" s="5"/>
      <c r="C55" s="34" t="s">
        <v>47</v>
      </c>
      <c r="D55" s="35" t="s">
        <v>69</v>
      </c>
      <c r="E55" s="66">
        <v>0.74</v>
      </c>
      <c r="F55" s="67">
        <v>0.831</v>
      </c>
      <c r="G55" s="67">
        <v>0.663</v>
      </c>
      <c r="H55" s="67">
        <v>0.916</v>
      </c>
      <c r="I55" s="67">
        <v>49.0</v>
      </c>
      <c r="J55" s="35">
        <v>329.0</v>
      </c>
      <c r="K55" s="35">
        <v>730.0</v>
      </c>
    </row>
    <row r="56" ht="25.5" customHeight="1">
      <c r="A56" s="5"/>
      <c r="B56" s="5"/>
      <c r="C56" s="34" t="s">
        <v>49</v>
      </c>
      <c r="D56" s="35" t="s">
        <v>69</v>
      </c>
      <c r="E56" s="66">
        <v>0.74</v>
      </c>
      <c r="F56" s="67">
        <v>0.831</v>
      </c>
      <c r="G56" s="67">
        <v>0.665</v>
      </c>
      <c r="H56" s="67">
        <v>0.914</v>
      </c>
      <c r="I56" s="67">
        <v>48.0</v>
      </c>
      <c r="J56" s="35">
        <v>338.0</v>
      </c>
      <c r="K56" s="35">
        <v>732.0</v>
      </c>
    </row>
    <row r="57" ht="25.5" customHeight="1">
      <c r="A57" s="5"/>
      <c r="B57" s="5"/>
      <c r="C57" s="34" t="s">
        <v>55</v>
      </c>
      <c r="D57" s="35" t="s">
        <v>69</v>
      </c>
      <c r="E57" s="73">
        <v>0.72</v>
      </c>
      <c r="F57" s="67">
        <v>0.82</v>
      </c>
      <c r="G57" s="67">
        <v>0.72</v>
      </c>
      <c r="H57" s="67">
        <v>0.89</v>
      </c>
      <c r="I57" s="67">
        <v>21.0</v>
      </c>
      <c r="J57" s="35">
        <v>412.0</v>
      </c>
      <c r="K57" s="35">
        <v>750.0</v>
      </c>
    </row>
    <row r="58" ht="25.5" customHeight="1">
      <c r="A58" s="5"/>
      <c r="B58" s="5"/>
      <c r="C58" s="34" t="s">
        <v>34</v>
      </c>
      <c r="D58" s="35" t="s">
        <v>69</v>
      </c>
      <c r="E58" s="67">
        <v>0.705</v>
      </c>
      <c r="F58" s="67">
        <v>0.832</v>
      </c>
      <c r="G58" s="67">
        <v>0.754</v>
      </c>
      <c r="H58" s="67">
        <v>0.871</v>
      </c>
      <c r="I58" s="67">
        <v>17.0</v>
      </c>
      <c r="J58" s="35">
        <v>534.0</v>
      </c>
      <c r="K58" s="35">
        <v>4328.0</v>
      </c>
    </row>
    <row r="59" ht="25.5" customHeight="1">
      <c r="A59" s="5"/>
      <c r="B59" s="5"/>
      <c r="C59" s="34" t="s">
        <v>47</v>
      </c>
      <c r="D59" s="35" t="s">
        <v>56</v>
      </c>
      <c r="E59" s="66">
        <v>0.754</v>
      </c>
      <c r="F59" s="66">
        <v>0.811</v>
      </c>
      <c r="G59" s="66">
        <v>0.754</v>
      </c>
      <c r="H59" s="66">
        <v>0.946</v>
      </c>
      <c r="I59" s="66">
        <v>128.0</v>
      </c>
      <c r="J59" s="44">
        <v>543.0</v>
      </c>
      <c r="K59" s="44">
        <v>2196.0</v>
      </c>
    </row>
    <row r="60" ht="27.75" customHeight="1">
      <c r="A60" s="5"/>
      <c r="B60" s="5"/>
      <c r="C60" s="34" t="s">
        <v>49</v>
      </c>
      <c r="D60" s="35" t="s">
        <v>56</v>
      </c>
      <c r="E60" s="35">
        <v>0.758</v>
      </c>
      <c r="F60" s="35">
        <v>0.791</v>
      </c>
      <c r="G60" s="35">
        <v>0.731</v>
      </c>
      <c r="H60" s="42">
        <v>0.976</v>
      </c>
      <c r="I60" s="35">
        <v>56.0</v>
      </c>
      <c r="J60" s="35">
        <v>84.0</v>
      </c>
      <c r="K60" s="35">
        <v>906.0</v>
      </c>
    </row>
    <row r="61" ht="27.75" customHeight="1">
      <c r="A61" s="5"/>
      <c r="B61" s="5"/>
      <c r="C61" s="34" t="s">
        <v>53</v>
      </c>
      <c r="D61" s="35" t="s">
        <v>56</v>
      </c>
      <c r="E61" s="35">
        <v>0.75</v>
      </c>
      <c r="F61" s="35">
        <v>0.791</v>
      </c>
      <c r="G61" s="35">
        <v>0.69</v>
      </c>
      <c r="H61" s="35">
        <v>0.97</v>
      </c>
      <c r="I61" s="35">
        <v>79.0</v>
      </c>
      <c r="J61" s="35">
        <v>84.0</v>
      </c>
      <c r="K61" s="35">
        <v>906.0</v>
      </c>
    </row>
    <row r="62" ht="27.75" customHeight="1">
      <c r="A62" s="5"/>
      <c r="B62" s="5"/>
      <c r="C62" s="34" t="s">
        <v>54</v>
      </c>
      <c r="D62" s="35" t="s">
        <v>56</v>
      </c>
      <c r="E62" s="66">
        <v>0.73</v>
      </c>
      <c r="F62" s="66">
        <v>0.811</v>
      </c>
      <c r="G62" s="66">
        <v>0.481</v>
      </c>
      <c r="H62" s="66">
        <v>0.945</v>
      </c>
      <c r="I62" s="66">
        <v>325.0</v>
      </c>
      <c r="J62" s="44">
        <v>545.0</v>
      </c>
      <c r="K62" s="44">
        <v>2196.0</v>
      </c>
    </row>
    <row r="63" ht="27.75" customHeight="1">
      <c r="A63" s="5"/>
      <c r="B63" s="5"/>
      <c r="C63" s="34" t="s">
        <v>55</v>
      </c>
      <c r="D63" s="35" t="s">
        <v>56</v>
      </c>
      <c r="E63" s="35">
        <v>0.753</v>
      </c>
      <c r="F63" s="35">
        <v>0.796</v>
      </c>
      <c r="G63" s="35">
        <v>0.792</v>
      </c>
      <c r="H63" s="35">
        <v>0.953</v>
      </c>
      <c r="I63" s="35">
        <v>15.0</v>
      </c>
      <c r="J63" s="35">
        <v>171.0</v>
      </c>
      <c r="K63" s="35">
        <v>884.0</v>
      </c>
    </row>
    <row r="64" ht="27.75" customHeight="1">
      <c r="A64" s="5"/>
      <c r="B64" s="5"/>
      <c r="C64" s="34" t="s">
        <v>34</v>
      </c>
      <c r="D64" s="35" t="s">
        <v>56</v>
      </c>
      <c r="E64" s="35">
        <v>0.752</v>
      </c>
      <c r="F64" s="35">
        <v>0.796</v>
      </c>
      <c r="G64" s="35">
        <v>0.73</v>
      </c>
      <c r="H64" s="35" t="s">
        <v>62</v>
      </c>
      <c r="I64" s="39">
        <v>16.0</v>
      </c>
      <c r="J64" s="35">
        <v>173.0</v>
      </c>
      <c r="K64" s="35">
        <v>884.0</v>
      </c>
    </row>
    <row r="65" ht="27.75" customHeight="1">
      <c r="A65" s="7"/>
      <c r="B65" s="7"/>
      <c r="C65" s="34" t="s">
        <v>70</v>
      </c>
      <c r="D65" s="35" t="s">
        <v>48</v>
      </c>
      <c r="E65" s="42">
        <v>0.699</v>
      </c>
      <c r="F65" s="42">
        <v>0.729</v>
      </c>
      <c r="G65" s="42">
        <v>0.903</v>
      </c>
      <c r="H65" s="42">
        <v>0.962</v>
      </c>
      <c r="I65" s="70">
        <v>12.0</v>
      </c>
      <c r="J65" s="70">
        <v>168.0</v>
      </c>
      <c r="K65" s="70">
        <v>1580.0</v>
      </c>
    </row>
    <row r="66" ht="27.75" customHeight="1">
      <c r="A66" s="36"/>
      <c r="B66" s="36"/>
      <c r="C66" s="34" t="s">
        <v>71</v>
      </c>
      <c r="D66" s="35" t="s">
        <v>72</v>
      </c>
      <c r="E66" s="42">
        <v>0.701</v>
      </c>
      <c r="F66" s="42">
        <v>0.733</v>
      </c>
      <c r="G66" s="42">
        <v>0.887</v>
      </c>
      <c r="H66" s="42">
        <v>0.962</v>
      </c>
      <c r="I66" s="70">
        <v>13.0</v>
      </c>
      <c r="J66" s="70">
        <v>171.0</v>
      </c>
      <c r="K66" s="70">
        <v>1559.0</v>
      </c>
    </row>
    <row r="67" ht="27.75" customHeight="1">
      <c r="A67" s="36"/>
      <c r="B67" s="36"/>
      <c r="C67" s="34" t="s">
        <v>73</v>
      </c>
      <c r="D67" s="35" t="s">
        <v>48</v>
      </c>
      <c r="E67" s="42">
        <v>0.794</v>
      </c>
      <c r="F67" s="35">
        <v>0.845</v>
      </c>
      <c r="G67" s="35">
        <v>0.723</v>
      </c>
      <c r="H67" s="35">
        <v>0.948</v>
      </c>
      <c r="I67" s="35">
        <v>27.0</v>
      </c>
      <c r="J67" s="35">
        <v>217.0</v>
      </c>
      <c r="K67" s="35">
        <v>727.0</v>
      </c>
    </row>
    <row r="68" ht="27.75" customHeight="1">
      <c r="A68" s="36"/>
      <c r="B68" s="36"/>
      <c r="C68" s="37"/>
      <c r="D68" s="38"/>
      <c r="E68" s="71"/>
      <c r="F68" s="38"/>
      <c r="G68" s="38"/>
      <c r="H68" s="38"/>
      <c r="I68" s="38"/>
      <c r="J68" s="38"/>
      <c r="K68" s="38"/>
    </row>
    <row r="69">
      <c r="A69" s="1" t="s">
        <v>0</v>
      </c>
      <c r="B69" s="1" t="s">
        <v>1</v>
      </c>
      <c r="C69" s="1" t="s">
        <v>3</v>
      </c>
      <c r="D69" s="1" t="s">
        <v>46</v>
      </c>
      <c r="E69" s="65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</row>
    <row r="70" ht="25.5" customHeight="1">
      <c r="A70" s="2" t="s">
        <v>11</v>
      </c>
      <c r="B70" s="2" t="s">
        <v>20</v>
      </c>
      <c r="C70" s="34" t="s">
        <v>54</v>
      </c>
      <c r="D70" s="35" t="s">
        <v>69</v>
      </c>
      <c r="E70" s="66">
        <v>0.691</v>
      </c>
      <c r="F70" s="67">
        <v>0.819</v>
      </c>
      <c r="G70" s="67">
        <v>0.483</v>
      </c>
      <c r="H70" s="67">
        <v>0.89</v>
      </c>
      <c r="I70" s="67">
        <v>318.0</v>
      </c>
      <c r="J70" s="35">
        <v>1182.0</v>
      </c>
      <c r="K70" s="35">
        <v>2101.0</v>
      </c>
    </row>
    <row r="71" ht="25.5" customHeight="1">
      <c r="A71" s="5"/>
      <c r="B71" s="5"/>
      <c r="C71" s="34" t="s">
        <v>53</v>
      </c>
      <c r="D71" s="35" t="s">
        <v>69</v>
      </c>
      <c r="E71" s="66">
        <v>0.619</v>
      </c>
      <c r="F71" s="67">
        <v>0.83</v>
      </c>
      <c r="G71" s="67">
        <v>0.65</v>
      </c>
      <c r="H71" s="67">
        <v>0.8</v>
      </c>
      <c r="I71" s="67">
        <v>164.0</v>
      </c>
      <c r="J71" s="35">
        <v>2292.0</v>
      </c>
      <c r="K71" s="35">
        <v>1979.0</v>
      </c>
    </row>
    <row r="72" ht="25.5" customHeight="1">
      <c r="A72" s="5"/>
      <c r="B72" s="5"/>
      <c r="C72" s="34" t="s">
        <v>47</v>
      </c>
      <c r="D72" s="35" t="s">
        <v>69</v>
      </c>
      <c r="E72" s="66">
        <v>0.697</v>
      </c>
      <c r="F72" s="67">
        <v>0.832</v>
      </c>
      <c r="G72" s="67">
        <v>0.682</v>
      </c>
      <c r="H72" s="67">
        <v>0.87</v>
      </c>
      <c r="I72" s="67">
        <v>127.0</v>
      </c>
      <c r="J72" s="35">
        <v>1447.0</v>
      </c>
      <c r="K72" s="35">
        <v>1997.0</v>
      </c>
    </row>
    <row r="73" ht="25.5" customHeight="1">
      <c r="A73" s="5"/>
      <c r="B73" s="5"/>
      <c r="C73" s="34" t="s">
        <v>49</v>
      </c>
      <c r="D73" s="35" t="s">
        <v>69</v>
      </c>
      <c r="E73" s="66" t="s">
        <v>74</v>
      </c>
      <c r="F73" s="67">
        <v>0.83</v>
      </c>
      <c r="G73" s="67">
        <v>0.63</v>
      </c>
      <c r="H73" s="67">
        <v>0.86</v>
      </c>
      <c r="I73" s="67">
        <v>130.0</v>
      </c>
      <c r="J73" s="35">
        <v>1460.0</v>
      </c>
      <c r="K73" s="35">
        <v>1929.0</v>
      </c>
    </row>
    <row r="74" ht="25.5" customHeight="1">
      <c r="A74" s="5"/>
      <c r="B74" s="5"/>
      <c r="C74" s="34" t="s">
        <v>55</v>
      </c>
      <c r="D74" s="35" t="s">
        <v>69</v>
      </c>
      <c r="E74" s="66">
        <v>0.736</v>
      </c>
      <c r="F74" s="67">
        <v>0.814</v>
      </c>
      <c r="G74" s="67">
        <v>0.74</v>
      </c>
      <c r="H74" s="67">
        <v>0.92</v>
      </c>
      <c r="I74" s="67">
        <v>99.0</v>
      </c>
      <c r="J74" s="35">
        <v>801.0</v>
      </c>
      <c r="K74" s="35">
        <v>2169.0</v>
      </c>
    </row>
    <row r="75" ht="25.5" customHeight="1">
      <c r="A75" s="5"/>
      <c r="B75" s="5"/>
      <c r="C75" s="34" t="s">
        <v>34</v>
      </c>
      <c r="D75" s="35" t="s">
        <v>69</v>
      </c>
      <c r="E75" s="67">
        <v>0.716</v>
      </c>
      <c r="F75" s="67">
        <v>0.817</v>
      </c>
      <c r="G75" s="67">
        <v>0.72</v>
      </c>
      <c r="H75" s="67">
        <v>0.898</v>
      </c>
      <c r="I75" s="67">
        <v>91.0</v>
      </c>
      <c r="J75" s="35">
        <v>1085.0</v>
      </c>
      <c r="K75" s="35">
        <v>2131.0</v>
      </c>
    </row>
    <row r="76" ht="25.5" customHeight="1">
      <c r="A76" s="5"/>
      <c r="B76" s="5"/>
      <c r="C76" s="34" t="s">
        <v>47</v>
      </c>
      <c r="D76" s="35" t="s">
        <v>56</v>
      </c>
      <c r="E76" s="66">
        <v>0.861</v>
      </c>
      <c r="F76" s="66">
        <v>0.901</v>
      </c>
      <c r="G76" s="66">
        <v>0.829</v>
      </c>
      <c r="H76" s="66">
        <v>0.96</v>
      </c>
      <c r="I76" s="66">
        <v>30.0</v>
      </c>
      <c r="J76" s="44">
        <v>311.0</v>
      </c>
      <c r="K76" s="44">
        <v>812.0</v>
      </c>
    </row>
    <row r="77" ht="27.75" customHeight="1">
      <c r="A77" s="5"/>
      <c r="B77" s="5"/>
      <c r="C77" s="34" t="s">
        <v>49</v>
      </c>
      <c r="D77" s="35" t="s">
        <v>56</v>
      </c>
      <c r="E77" s="44">
        <v>0.754</v>
      </c>
      <c r="F77" s="44">
        <v>0.81</v>
      </c>
      <c r="G77" s="45">
        <v>0.76</v>
      </c>
      <c r="H77" s="44">
        <v>0.946</v>
      </c>
      <c r="I77" s="44">
        <v>116.0</v>
      </c>
      <c r="J77" s="44">
        <v>539.0</v>
      </c>
      <c r="K77" s="44">
        <v>11636.0</v>
      </c>
    </row>
    <row r="78" ht="27.75" customHeight="1">
      <c r="A78" s="5"/>
      <c r="B78" s="5"/>
      <c r="C78" s="34" t="s">
        <v>53</v>
      </c>
      <c r="D78" s="35" t="s">
        <v>56</v>
      </c>
      <c r="E78" s="44">
        <v>0.749</v>
      </c>
      <c r="F78" s="44">
        <v>0.81</v>
      </c>
      <c r="G78" s="44">
        <v>0.64</v>
      </c>
      <c r="H78" s="44">
        <v>0.946</v>
      </c>
      <c r="I78" s="44">
        <v>181.0</v>
      </c>
      <c r="J78" s="44">
        <v>539.0</v>
      </c>
      <c r="K78" s="44">
        <v>2202.0</v>
      </c>
    </row>
    <row r="79" ht="27.75" customHeight="1">
      <c r="A79" s="5"/>
      <c r="B79" s="5"/>
      <c r="C79" s="34" t="s">
        <v>54</v>
      </c>
      <c r="D79" s="35" t="s">
        <v>56</v>
      </c>
      <c r="E79" s="66">
        <v>0.84</v>
      </c>
      <c r="F79" s="66">
        <v>0.901</v>
      </c>
      <c r="G79" s="66">
        <v>0.51</v>
      </c>
      <c r="H79" s="66">
        <v>0.96</v>
      </c>
      <c r="I79" s="66">
        <v>156.0</v>
      </c>
      <c r="J79" s="44">
        <v>312.0</v>
      </c>
      <c r="K79" s="44">
        <v>823.0</v>
      </c>
    </row>
    <row r="80" ht="27.75" customHeight="1">
      <c r="A80" s="5"/>
      <c r="B80" s="5"/>
      <c r="C80" s="34" t="s">
        <v>55</v>
      </c>
      <c r="D80" s="35" t="s">
        <v>56</v>
      </c>
      <c r="E80" s="44">
        <v>0.746</v>
      </c>
      <c r="F80" s="44">
        <v>0.81</v>
      </c>
      <c r="G80" s="45">
        <v>0.743</v>
      </c>
      <c r="H80" s="44">
        <v>0.935</v>
      </c>
      <c r="I80" s="44">
        <v>87.0</v>
      </c>
      <c r="J80" s="44">
        <v>659.0</v>
      </c>
      <c r="K80" s="44">
        <v>2212.0</v>
      </c>
    </row>
    <row r="81" ht="27.75" customHeight="1">
      <c r="A81" s="5"/>
      <c r="B81" s="5"/>
      <c r="C81" s="34" t="s">
        <v>34</v>
      </c>
      <c r="D81" s="35" t="s">
        <v>56</v>
      </c>
      <c r="E81" s="44">
        <v>0.746</v>
      </c>
      <c r="F81" s="44">
        <v>0.81</v>
      </c>
      <c r="G81" s="44">
        <v>0.71</v>
      </c>
      <c r="H81" s="44">
        <v>0.935</v>
      </c>
      <c r="I81" s="44">
        <v>88.0</v>
      </c>
      <c r="J81" s="44">
        <v>656.0</v>
      </c>
      <c r="K81" s="44">
        <v>2122.0</v>
      </c>
    </row>
    <row r="82" ht="27.75" customHeight="1">
      <c r="A82" s="7"/>
      <c r="B82" s="7"/>
      <c r="C82" s="34" t="s">
        <v>70</v>
      </c>
      <c r="D82" s="35" t="s">
        <v>48</v>
      </c>
      <c r="E82" s="42">
        <v>0.69</v>
      </c>
      <c r="F82" s="42">
        <v>0.745</v>
      </c>
      <c r="G82" s="42">
        <v>0.766</v>
      </c>
      <c r="H82" s="42">
        <v>0.944</v>
      </c>
      <c r="I82" s="70">
        <v>82.0</v>
      </c>
      <c r="J82" s="70">
        <v>634.0</v>
      </c>
      <c r="K82" s="70">
        <v>3619.0</v>
      </c>
    </row>
    <row r="83" ht="27.75" customHeight="1">
      <c r="A83" s="36"/>
      <c r="B83" s="36"/>
      <c r="C83" s="34" t="s">
        <v>71</v>
      </c>
      <c r="D83" s="35" t="s">
        <v>72</v>
      </c>
      <c r="E83" s="42">
        <v>0.658</v>
      </c>
      <c r="F83" s="42">
        <v>0.784</v>
      </c>
      <c r="G83" s="42">
        <v>0.829</v>
      </c>
      <c r="H83" s="42">
        <v>0.871</v>
      </c>
      <c r="I83" s="70">
        <v>136.0</v>
      </c>
      <c r="J83" s="70">
        <v>1649.0</v>
      </c>
      <c r="K83" s="70">
        <v>3070.0</v>
      </c>
    </row>
    <row r="84" ht="27.75" customHeight="1">
      <c r="A84" s="36"/>
      <c r="B84" s="36"/>
      <c r="C84" s="34" t="s">
        <v>73</v>
      </c>
      <c r="D84" s="35" t="s">
        <v>48</v>
      </c>
      <c r="E84" s="42">
        <v>0.766</v>
      </c>
      <c r="F84" s="35">
        <v>0.85</v>
      </c>
      <c r="G84" s="35">
        <v>0.613</v>
      </c>
      <c r="H84" s="35">
        <v>0.916</v>
      </c>
      <c r="I84" s="35">
        <v>79.0</v>
      </c>
      <c r="J84" s="35">
        <v>999.0</v>
      </c>
      <c r="K84" s="35">
        <v>1915.0</v>
      </c>
    </row>
    <row r="85" ht="27.75" customHeight="1">
      <c r="A85" s="36"/>
      <c r="B85" s="36"/>
      <c r="C85" s="37"/>
      <c r="D85" s="38"/>
      <c r="E85" s="71"/>
      <c r="F85" s="38"/>
      <c r="G85" s="38"/>
      <c r="H85" s="38"/>
      <c r="I85" s="38"/>
      <c r="J85" s="38"/>
      <c r="K85" s="38"/>
    </row>
    <row r="86">
      <c r="A86" s="1" t="s">
        <v>0</v>
      </c>
      <c r="B86" s="1" t="s">
        <v>1</v>
      </c>
      <c r="C86" s="1" t="s">
        <v>3</v>
      </c>
      <c r="D86" s="1" t="s">
        <v>46</v>
      </c>
      <c r="E86" s="65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</row>
    <row r="87" ht="25.5" customHeight="1">
      <c r="A87" s="2" t="s">
        <v>11</v>
      </c>
      <c r="B87" s="2" t="s">
        <v>21</v>
      </c>
      <c r="C87" s="34" t="s">
        <v>54</v>
      </c>
      <c r="D87" s="35" t="s">
        <v>69</v>
      </c>
      <c r="E87" s="66">
        <v>0.776</v>
      </c>
      <c r="F87" s="67">
        <v>0.908</v>
      </c>
      <c r="G87" s="35">
        <v>0.529</v>
      </c>
      <c r="H87" s="35">
        <v>0.885</v>
      </c>
      <c r="I87" s="67">
        <v>125.0</v>
      </c>
      <c r="J87" s="35">
        <v>981.0</v>
      </c>
      <c r="K87" s="35">
        <v>786.0</v>
      </c>
    </row>
    <row r="88" ht="25.5" customHeight="1">
      <c r="A88" s="5"/>
      <c r="B88" s="5"/>
      <c r="C88" s="34" t="s">
        <v>53</v>
      </c>
      <c r="D88" s="35" t="s">
        <v>69</v>
      </c>
      <c r="E88" s="66">
        <v>0.708</v>
      </c>
      <c r="F88" s="67">
        <v>0.91</v>
      </c>
      <c r="G88" s="35">
        <v>0.85</v>
      </c>
      <c r="H88" s="35">
        <v>0.81</v>
      </c>
      <c r="I88" s="67">
        <v>29.0</v>
      </c>
      <c r="J88" s="35">
        <v>1719.0</v>
      </c>
      <c r="K88" s="35">
        <v>685.0</v>
      </c>
    </row>
    <row r="89" ht="25.5" customHeight="1">
      <c r="A89" s="5"/>
      <c r="B89" s="5"/>
      <c r="C89" s="34" t="s">
        <v>47</v>
      </c>
      <c r="D89" s="35" t="s">
        <v>69</v>
      </c>
      <c r="E89" s="66">
        <v>0.79</v>
      </c>
      <c r="F89" s="67">
        <v>0.92</v>
      </c>
      <c r="G89" s="35">
        <v>0.72</v>
      </c>
      <c r="H89" s="35">
        <v>0.88</v>
      </c>
      <c r="I89" s="67">
        <v>27.0</v>
      </c>
      <c r="J89" s="35">
        <v>1028.0</v>
      </c>
      <c r="K89" s="35">
        <v>671.0</v>
      </c>
    </row>
    <row r="90" ht="25.5" customHeight="1">
      <c r="A90" s="5"/>
      <c r="B90" s="5"/>
      <c r="C90" s="34" t="s">
        <v>49</v>
      </c>
      <c r="D90" s="35" t="s">
        <v>69</v>
      </c>
      <c r="E90" s="66">
        <v>0.79</v>
      </c>
      <c r="F90" s="67">
        <v>0.92</v>
      </c>
      <c r="G90" s="35">
        <v>0.72</v>
      </c>
      <c r="H90" s="35" t="s">
        <v>58</v>
      </c>
      <c r="I90" s="67">
        <v>26.0</v>
      </c>
      <c r="J90" s="35">
        <v>1055.0</v>
      </c>
      <c r="K90" s="35">
        <v>654.0</v>
      </c>
    </row>
    <row r="91" ht="25.5" customHeight="1">
      <c r="A91" s="5"/>
      <c r="B91" s="5"/>
      <c r="C91" s="34" t="s">
        <v>55</v>
      </c>
      <c r="D91" s="35" t="s">
        <v>69</v>
      </c>
      <c r="E91" s="68">
        <v>0.82</v>
      </c>
      <c r="F91" s="67">
        <v>0.9</v>
      </c>
      <c r="G91" s="35">
        <v>0.84</v>
      </c>
      <c r="H91" s="35">
        <v>0.92</v>
      </c>
      <c r="I91" s="67">
        <v>27.0</v>
      </c>
      <c r="J91" s="35">
        <v>758.0</v>
      </c>
      <c r="K91" s="35">
        <v>655.0</v>
      </c>
    </row>
    <row r="92" ht="25.5" customHeight="1">
      <c r="A92" s="5"/>
      <c r="B92" s="5"/>
      <c r="C92" s="34" t="s">
        <v>34</v>
      </c>
      <c r="D92" s="35" t="s">
        <v>69</v>
      </c>
      <c r="E92" s="67">
        <v>0.829</v>
      </c>
      <c r="F92" s="67">
        <v>0.912</v>
      </c>
      <c r="G92" s="35">
        <v>0.86</v>
      </c>
      <c r="H92" s="35">
        <v>0.918</v>
      </c>
      <c r="I92" s="67">
        <v>15.0</v>
      </c>
      <c r="J92" s="35">
        <v>682.0</v>
      </c>
      <c r="K92" s="35">
        <v>733.0</v>
      </c>
    </row>
    <row r="93" ht="25.5" customHeight="1">
      <c r="A93" s="5"/>
      <c r="B93" s="5"/>
      <c r="C93" s="34" t="s">
        <v>47</v>
      </c>
      <c r="D93" s="35" t="s">
        <v>56</v>
      </c>
      <c r="E93" s="66">
        <v>0.861</v>
      </c>
      <c r="F93" s="66">
        <v>0.901</v>
      </c>
      <c r="G93" s="44">
        <v>0.829</v>
      </c>
      <c r="H93" s="44">
        <v>0.96</v>
      </c>
      <c r="I93" s="66">
        <v>30.0</v>
      </c>
      <c r="J93" s="44">
        <v>311.0</v>
      </c>
      <c r="K93" s="44">
        <v>812.0</v>
      </c>
    </row>
    <row r="94" ht="27.75" customHeight="1">
      <c r="A94" s="5"/>
      <c r="B94" s="5"/>
      <c r="C94" s="34" t="s">
        <v>49</v>
      </c>
      <c r="D94" s="35" t="s">
        <v>56</v>
      </c>
      <c r="E94" s="44">
        <v>0.861</v>
      </c>
      <c r="F94" s="44">
        <v>0.901</v>
      </c>
      <c r="G94" s="44">
        <v>0.85</v>
      </c>
      <c r="H94" s="44">
        <v>0.96</v>
      </c>
      <c r="I94" s="44">
        <v>27.0</v>
      </c>
      <c r="J94" s="44">
        <v>311.0</v>
      </c>
      <c r="K94" s="44">
        <v>824.0</v>
      </c>
    </row>
    <row r="95" ht="27.75" customHeight="1">
      <c r="A95" s="5"/>
      <c r="B95" s="5"/>
      <c r="C95" s="34" t="s">
        <v>53</v>
      </c>
      <c r="D95" s="35" t="s">
        <v>56</v>
      </c>
      <c r="E95" s="44">
        <v>0.85</v>
      </c>
      <c r="F95" s="44">
        <v>0.901</v>
      </c>
      <c r="G95" s="44">
        <v>0.75</v>
      </c>
      <c r="H95" s="44">
        <v>0.96</v>
      </c>
      <c r="I95" s="44">
        <v>44.0</v>
      </c>
      <c r="J95" s="44">
        <v>313.0</v>
      </c>
      <c r="K95" s="44">
        <v>824.0</v>
      </c>
    </row>
    <row r="96" ht="27.75" customHeight="1">
      <c r="A96" s="5"/>
      <c r="B96" s="5"/>
      <c r="C96" s="34" t="s">
        <v>54</v>
      </c>
      <c r="D96" s="35" t="s">
        <v>56</v>
      </c>
      <c r="E96" s="66">
        <v>0.84</v>
      </c>
      <c r="F96" s="66">
        <v>0.901</v>
      </c>
      <c r="G96" s="44" t="s">
        <v>41</v>
      </c>
      <c r="H96" s="44">
        <v>0.96</v>
      </c>
      <c r="I96" s="66">
        <v>156.0</v>
      </c>
      <c r="J96" s="44">
        <v>312.0</v>
      </c>
      <c r="K96" s="44">
        <v>823.0</v>
      </c>
    </row>
    <row r="97" ht="27.75" customHeight="1">
      <c r="A97" s="5"/>
      <c r="B97" s="5"/>
      <c r="C97" s="34" t="s">
        <v>55</v>
      </c>
      <c r="D97" s="35" t="s">
        <v>56</v>
      </c>
      <c r="E97" s="44">
        <v>0.85</v>
      </c>
      <c r="F97" s="44">
        <v>0.904</v>
      </c>
      <c r="G97" s="44">
        <v>0.877</v>
      </c>
      <c r="H97" s="44">
        <v>0.953</v>
      </c>
      <c r="I97" s="44">
        <v>12.0</v>
      </c>
      <c r="J97" s="44">
        <v>27.0</v>
      </c>
      <c r="K97" s="44">
        <v>1474.0</v>
      </c>
    </row>
    <row r="98" ht="27.75" customHeight="1">
      <c r="A98" s="5"/>
      <c r="B98" s="5"/>
      <c r="C98" s="34" t="s">
        <v>34</v>
      </c>
      <c r="D98" s="35" t="s">
        <v>56</v>
      </c>
      <c r="E98" s="44">
        <v>0.85</v>
      </c>
      <c r="F98" s="44">
        <v>0.901</v>
      </c>
      <c r="G98" s="44">
        <v>0.83</v>
      </c>
      <c r="H98" s="44" t="s">
        <v>63</v>
      </c>
      <c r="I98" s="44">
        <v>15.0</v>
      </c>
      <c r="J98" s="44">
        <v>401.0</v>
      </c>
      <c r="K98" s="44">
        <v>426.0</v>
      </c>
    </row>
    <row r="99" ht="27.75" customHeight="1">
      <c r="A99" s="7"/>
      <c r="B99" s="7"/>
      <c r="C99" s="34" t="s">
        <v>70</v>
      </c>
      <c r="D99" s="35" t="s">
        <v>48</v>
      </c>
      <c r="E99" s="42">
        <v>0.782</v>
      </c>
      <c r="F99" s="42">
        <v>0.825</v>
      </c>
      <c r="G99" s="42">
        <v>0.902</v>
      </c>
      <c r="H99" s="42">
        <v>0.951</v>
      </c>
      <c r="I99" s="70">
        <v>9.0</v>
      </c>
      <c r="J99" s="70">
        <v>401.0</v>
      </c>
      <c r="K99" s="70">
        <v>1169.0</v>
      </c>
    </row>
    <row r="100" ht="27.75" customHeight="1">
      <c r="A100" s="36"/>
      <c r="B100" s="36"/>
      <c r="C100" s="34" t="s">
        <v>71</v>
      </c>
      <c r="D100" s="35" t="s">
        <v>72</v>
      </c>
      <c r="E100" s="42">
        <v>0.769</v>
      </c>
      <c r="F100" s="42">
        <v>0.824</v>
      </c>
      <c r="G100" s="42">
        <v>0.904</v>
      </c>
      <c r="H100" s="42">
        <v>0.938</v>
      </c>
      <c r="I100" s="70">
        <v>4.0</v>
      </c>
      <c r="J100" s="70">
        <v>522.0</v>
      </c>
      <c r="K100" s="70">
        <v>1671.0</v>
      </c>
    </row>
    <row r="101" ht="27.75" customHeight="1">
      <c r="A101" s="36"/>
      <c r="B101" s="36"/>
      <c r="C101" s="34" t="s">
        <v>73</v>
      </c>
      <c r="D101" s="35" t="s">
        <v>48</v>
      </c>
      <c r="E101" s="42">
        <v>0.884</v>
      </c>
      <c r="F101" s="35">
        <v>0.937</v>
      </c>
      <c r="G101" s="35">
        <v>0.835</v>
      </c>
      <c r="H101" s="35">
        <v>0.947</v>
      </c>
      <c r="I101" s="35">
        <v>8.0</v>
      </c>
      <c r="J101" s="35">
        <v>367.0</v>
      </c>
      <c r="K101" s="35">
        <v>438.0</v>
      </c>
    </row>
    <row r="102" ht="27.75" customHeight="1">
      <c r="A102" s="36"/>
      <c r="B102" s="36"/>
      <c r="C102" s="37"/>
      <c r="D102" s="38"/>
      <c r="E102" s="71"/>
      <c r="F102" s="38"/>
      <c r="G102" s="38"/>
      <c r="H102" s="38"/>
      <c r="I102" s="38"/>
      <c r="J102" s="38"/>
      <c r="K102" s="38"/>
    </row>
    <row r="103">
      <c r="A103" s="1" t="s">
        <v>0</v>
      </c>
      <c r="B103" s="1" t="s">
        <v>1</v>
      </c>
      <c r="C103" s="1" t="s">
        <v>3</v>
      </c>
      <c r="D103" s="1" t="s">
        <v>46</v>
      </c>
      <c r="E103" s="65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</row>
    <row r="104" ht="25.5" customHeight="1">
      <c r="A104" s="2" t="s">
        <v>11</v>
      </c>
      <c r="B104" s="2" t="s">
        <v>22</v>
      </c>
      <c r="C104" s="34" t="s">
        <v>54</v>
      </c>
      <c r="D104" s="35" t="s">
        <v>69</v>
      </c>
      <c r="E104" s="66">
        <v>0.59</v>
      </c>
      <c r="F104" s="67">
        <v>0.78</v>
      </c>
      <c r="G104" s="35">
        <v>0.49</v>
      </c>
      <c r="H104" s="35">
        <v>0.85</v>
      </c>
      <c r="I104" s="70">
        <v>587.0</v>
      </c>
      <c r="J104" s="35">
        <v>1607.0</v>
      </c>
      <c r="K104" s="35">
        <v>2439.0</v>
      </c>
    </row>
    <row r="105" ht="25.5" customHeight="1">
      <c r="A105" s="5"/>
      <c r="B105" s="5"/>
      <c r="C105" s="34" t="s">
        <v>53</v>
      </c>
      <c r="D105" s="35" t="s">
        <v>69</v>
      </c>
      <c r="E105" s="66">
        <v>0.479</v>
      </c>
      <c r="F105" s="67">
        <v>0.79</v>
      </c>
      <c r="G105" s="35">
        <v>0.568</v>
      </c>
      <c r="H105" s="35">
        <v>0.744</v>
      </c>
      <c r="I105" s="70">
        <v>503.0</v>
      </c>
      <c r="J105" s="35">
        <v>3154.0</v>
      </c>
      <c r="K105" s="35">
        <v>2348.0</v>
      </c>
    </row>
    <row r="106" ht="25.5" customHeight="1">
      <c r="A106" s="5"/>
      <c r="B106" s="5"/>
      <c r="C106" s="34" t="s">
        <v>47</v>
      </c>
      <c r="D106" s="35" t="s">
        <v>69</v>
      </c>
      <c r="E106" s="66">
        <v>0.617</v>
      </c>
      <c r="F106" s="67">
        <v>0.79</v>
      </c>
      <c r="G106" s="35">
        <v>0.71</v>
      </c>
      <c r="H106" s="35" t="s">
        <v>37</v>
      </c>
      <c r="I106" s="70">
        <v>259.0</v>
      </c>
      <c r="J106" s="35">
        <v>1838.0</v>
      </c>
      <c r="K106" s="35">
        <v>2319.0</v>
      </c>
    </row>
    <row r="107" ht="25.5" customHeight="1">
      <c r="A107" s="5"/>
      <c r="B107" s="5"/>
      <c r="C107" s="34" t="s">
        <v>49</v>
      </c>
      <c r="D107" s="35" t="s">
        <v>69</v>
      </c>
      <c r="E107" s="66">
        <v>0.582</v>
      </c>
      <c r="F107" s="67">
        <v>0.8</v>
      </c>
      <c r="G107" s="35">
        <v>0.61</v>
      </c>
      <c r="H107" s="35">
        <v>0.81</v>
      </c>
      <c r="I107" s="70">
        <v>475.0</v>
      </c>
      <c r="J107" s="35">
        <v>2040.0</v>
      </c>
      <c r="K107" s="35">
        <v>2304.0</v>
      </c>
    </row>
    <row r="108" ht="25.5" customHeight="1">
      <c r="A108" s="5"/>
      <c r="B108" s="5"/>
      <c r="C108" s="34" t="s">
        <v>55</v>
      </c>
      <c r="D108" s="35" t="s">
        <v>69</v>
      </c>
      <c r="E108" s="68">
        <v>0.676</v>
      </c>
      <c r="F108" s="67">
        <v>0.77</v>
      </c>
      <c r="G108" s="35">
        <v>0.79</v>
      </c>
      <c r="H108" s="35">
        <v>0.9</v>
      </c>
      <c r="I108" s="70">
        <v>211.0</v>
      </c>
      <c r="J108" s="35">
        <v>976.0</v>
      </c>
      <c r="K108" s="35">
        <v>2551.0</v>
      </c>
    </row>
    <row r="109" ht="25.5" customHeight="1">
      <c r="A109" s="5"/>
      <c r="B109" s="5"/>
      <c r="C109" s="34" t="s">
        <v>34</v>
      </c>
      <c r="D109" s="35" t="s">
        <v>69</v>
      </c>
      <c r="E109" s="67">
        <v>0.48</v>
      </c>
      <c r="F109" s="67">
        <v>0.784</v>
      </c>
      <c r="G109" s="35">
        <v>0.55</v>
      </c>
      <c r="H109" s="35">
        <v>0.73</v>
      </c>
      <c r="I109" s="70">
        <v>201.0</v>
      </c>
      <c r="J109" s="35">
        <v>3302.0</v>
      </c>
      <c r="K109" s="35">
        <v>2491.0</v>
      </c>
    </row>
    <row r="110" ht="25.5" customHeight="1">
      <c r="A110" s="5"/>
      <c r="B110" s="5"/>
      <c r="C110" s="34" t="s">
        <v>47</v>
      </c>
      <c r="D110" s="35" t="s">
        <v>56</v>
      </c>
      <c r="E110" s="66">
        <v>0.702</v>
      </c>
      <c r="F110" s="66">
        <v>0.778</v>
      </c>
      <c r="G110" s="44">
        <v>0.755</v>
      </c>
      <c r="H110" s="44">
        <v>0.955</v>
      </c>
      <c r="I110" s="74">
        <v>319.0</v>
      </c>
      <c r="J110" s="44">
        <v>565.0</v>
      </c>
      <c r="K110" s="44">
        <v>2556.0</v>
      </c>
    </row>
    <row r="111" ht="27.75" customHeight="1">
      <c r="A111" s="5"/>
      <c r="B111" s="5"/>
      <c r="C111" s="34" t="s">
        <v>49</v>
      </c>
      <c r="D111" s="35" t="s">
        <v>56</v>
      </c>
      <c r="E111" s="44">
        <v>0.703</v>
      </c>
      <c r="F111" s="44">
        <v>0.776</v>
      </c>
      <c r="G111" s="44">
        <v>0.785</v>
      </c>
      <c r="H111" s="44">
        <v>0.944</v>
      </c>
      <c r="I111" s="74">
        <v>303.0</v>
      </c>
      <c r="J111" s="44">
        <v>532.0</v>
      </c>
      <c r="K111" s="44">
        <v>2558.0</v>
      </c>
    </row>
    <row r="112" ht="27.75" customHeight="1">
      <c r="A112" s="5"/>
      <c r="B112" s="5"/>
      <c r="C112" s="34" t="s">
        <v>53</v>
      </c>
      <c r="D112" s="35" t="s">
        <v>56</v>
      </c>
      <c r="E112" s="48">
        <v>0.69</v>
      </c>
      <c r="F112" s="44">
        <v>0.776</v>
      </c>
      <c r="G112" s="44">
        <v>0.69</v>
      </c>
      <c r="H112" s="44">
        <v>0.94</v>
      </c>
      <c r="I112" s="74">
        <v>414.0</v>
      </c>
      <c r="J112" s="44">
        <v>541.0</v>
      </c>
      <c r="K112" s="44">
        <v>2584.0</v>
      </c>
    </row>
    <row r="113" ht="27.75" customHeight="1">
      <c r="A113" s="5"/>
      <c r="B113" s="5"/>
      <c r="C113" s="34" t="s">
        <v>54</v>
      </c>
      <c r="D113" s="35" t="s">
        <v>56</v>
      </c>
      <c r="E113" s="75">
        <v>0.67</v>
      </c>
      <c r="F113" s="66">
        <v>0.778</v>
      </c>
      <c r="G113" s="44">
        <v>0.48</v>
      </c>
      <c r="H113" s="44">
        <v>0.94</v>
      </c>
      <c r="I113" s="74">
        <v>651.0</v>
      </c>
      <c r="J113" s="44">
        <v>574.0</v>
      </c>
      <c r="K113" s="44">
        <v>2561.0</v>
      </c>
    </row>
    <row r="114" ht="27.75" customHeight="1">
      <c r="A114" s="5"/>
      <c r="B114" s="5"/>
      <c r="C114" s="34" t="s">
        <v>55</v>
      </c>
      <c r="D114" s="35" t="s">
        <v>56</v>
      </c>
      <c r="E114" s="44">
        <v>0.71</v>
      </c>
      <c r="F114" s="44">
        <v>0.759</v>
      </c>
      <c r="G114" s="44">
        <v>0.72</v>
      </c>
      <c r="H114" s="44">
        <v>0.945</v>
      </c>
      <c r="I114" s="74">
        <v>182.0</v>
      </c>
      <c r="J114" s="44">
        <v>509.0</v>
      </c>
      <c r="K114" s="44">
        <v>2778.0</v>
      </c>
    </row>
    <row r="115" ht="27.75" customHeight="1">
      <c r="A115" s="5"/>
      <c r="B115" s="5"/>
      <c r="C115" s="34" t="s">
        <v>34</v>
      </c>
      <c r="D115" s="35" t="s">
        <v>56</v>
      </c>
      <c r="E115" s="44">
        <v>0.701</v>
      </c>
      <c r="F115" s="44">
        <v>0.768</v>
      </c>
      <c r="G115" s="44">
        <v>0.6</v>
      </c>
      <c r="H115" s="44">
        <v>0.94</v>
      </c>
      <c r="I115" s="74">
        <v>176.0</v>
      </c>
      <c r="J115" s="44">
        <v>529.0</v>
      </c>
      <c r="K115" s="44">
        <v>2676.0</v>
      </c>
    </row>
    <row r="116" ht="27.75" customHeight="1">
      <c r="A116" s="7"/>
      <c r="B116" s="7"/>
      <c r="C116" s="34" t="s">
        <v>70</v>
      </c>
      <c r="D116" s="35" t="s">
        <v>48</v>
      </c>
      <c r="E116" s="42">
        <v>0.738</v>
      </c>
      <c r="F116" s="42">
        <v>0.8</v>
      </c>
      <c r="G116" s="42">
        <v>0.868</v>
      </c>
      <c r="H116" s="42">
        <v>0.937</v>
      </c>
      <c r="I116" s="70">
        <v>98.0</v>
      </c>
      <c r="J116" s="70">
        <v>622.0</v>
      </c>
      <c r="K116" s="70">
        <v>2326.0</v>
      </c>
    </row>
    <row r="117" ht="27.75" customHeight="1">
      <c r="A117" s="36"/>
      <c r="B117" s="36"/>
      <c r="C117" s="34" t="s">
        <v>71</v>
      </c>
      <c r="D117" s="35" t="s">
        <v>72</v>
      </c>
      <c r="E117" s="42">
        <v>0.694</v>
      </c>
      <c r="F117" s="42">
        <v>0.855</v>
      </c>
      <c r="G117" s="42">
        <v>0.856</v>
      </c>
      <c r="H117" s="42">
        <v>0.851</v>
      </c>
      <c r="I117" s="70">
        <v>127.0</v>
      </c>
      <c r="J117" s="70">
        <v>1747.0</v>
      </c>
      <c r="K117" s="70">
        <v>1685.0</v>
      </c>
    </row>
    <row r="118" ht="27.75" customHeight="1">
      <c r="A118" s="36"/>
      <c r="B118" s="36"/>
      <c r="C118" s="34" t="s">
        <v>73</v>
      </c>
      <c r="D118" s="35" t="s">
        <v>48</v>
      </c>
      <c r="E118" s="42">
        <v>0.719</v>
      </c>
      <c r="F118" s="35">
        <v>0.826</v>
      </c>
      <c r="G118" s="35">
        <v>0.611</v>
      </c>
      <c r="H118" s="42">
        <v>0.909</v>
      </c>
      <c r="I118" s="35">
        <v>285.0</v>
      </c>
      <c r="J118" s="35">
        <v>950.0</v>
      </c>
      <c r="K118" s="35">
        <v>2010.0</v>
      </c>
    </row>
    <row r="119" ht="27.75" customHeight="1">
      <c r="A119" s="36"/>
      <c r="B119" s="36"/>
      <c r="C119" s="37"/>
      <c r="D119" s="38"/>
      <c r="E119" s="71"/>
      <c r="F119" s="38"/>
      <c r="G119" s="38"/>
      <c r="H119" s="38"/>
      <c r="I119" s="38"/>
      <c r="J119" s="38"/>
      <c r="K119" s="38"/>
    </row>
    <row r="120">
      <c r="C120" s="1" t="s">
        <v>3</v>
      </c>
      <c r="D120" s="1" t="s">
        <v>46</v>
      </c>
      <c r="E120" s="65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</row>
    <row r="121" ht="32.25" customHeight="1">
      <c r="C121" s="34" t="s">
        <v>54</v>
      </c>
      <c r="D121" s="35" t="s">
        <v>69</v>
      </c>
      <c r="E121" s="76">
        <f t="shared" ref="E121:E135" si="1">average(E2,E19,E36,E53,E70,E87,E104)</f>
        <v>0.6311428571</v>
      </c>
      <c r="F121" s="67">
        <f t="shared" ref="F121:F135" si="2">average(F2,F19,F70,F87,F104)</f>
        <v>0.7854</v>
      </c>
      <c r="G121" s="77">
        <f t="shared" ref="G121:G135" si="3">average(G2,G19,G53,G70,G87,G104)</f>
        <v>0.5086666667</v>
      </c>
      <c r="H121" s="77">
        <f t="shared" ref="H121:H135" si="4">average(H2,H19,H36,H53,H70,H87,H104)</f>
        <v>0.8598571429</v>
      </c>
      <c r="I121" s="70">
        <f t="shared" ref="I121:I135" si="5">SUM(I2,I19,I36,I70,I87,I104)</f>
        <v>2023</v>
      </c>
      <c r="J121" s="35">
        <f t="shared" ref="J121:J135" si="6">SUM(J2,J53,J70,J87,J104)</f>
        <v>5199</v>
      </c>
      <c r="K121" s="78">
        <f t="shared" ref="K121:K135" si="7">SUM(K2,K19,K36,K53,K70,K87,K104)</f>
        <v>23928</v>
      </c>
    </row>
    <row r="122" ht="30.75" customHeight="1">
      <c r="C122" s="34" t="s">
        <v>53</v>
      </c>
      <c r="D122" s="35" t="s">
        <v>69</v>
      </c>
      <c r="E122" s="76">
        <f t="shared" si="1"/>
        <v>0.559</v>
      </c>
      <c r="F122" s="67">
        <f t="shared" si="2"/>
        <v>0.7978</v>
      </c>
      <c r="G122" s="77">
        <f t="shared" si="3"/>
        <v>0.6961666667</v>
      </c>
      <c r="H122" s="77">
        <f t="shared" si="4"/>
        <v>0.7751666667</v>
      </c>
      <c r="I122" s="70">
        <f t="shared" si="5"/>
        <v>1166</v>
      </c>
      <c r="J122" s="35">
        <f t="shared" si="6"/>
        <v>9645</v>
      </c>
      <c r="K122" s="78">
        <f t="shared" si="7"/>
        <v>22651</v>
      </c>
    </row>
    <row r="123" ht="32.25" customHeight="1">
      <c r="C123" s="34" t="s">
        <v>47</v>
      </c>
      <c r="D123" s="35" t="s">
        <v>69</v>
      </c>
      <c r="E123" s="76">
        <f t="shared" si="1"/>
        <v>0.659</v>
      </c>
      <c r="F123" s="67">
        <f t="shared" si="2"/>
        <v>0.7986</v>
      </c>
      <c r="G123" s="77">
        <f t="shared" si="3"/>
        <v>0.7038333333</v>
      </c>
      <c r="H123" s="77">
        <f t="shared" si="4"/>
        <v>0.8618333333</v>
      </c>
      <c r="I123" s="70">
        <f t="shared" si="5"/>
        <v>764</v>
      </c>
      <c r="J123" s="35">
        <f t="shared" si="6"/>
        <v>5683</v>
      </c>
      <c r="K123" s="78">
        <f t="shared" si="7"/>
        <v>22766</v>
      </c>
    </row>
    <row r="124" ht="33.0" customHeight="1">
      <c r="C124" s="34" t="s">
        <v>49</v>
      </c>
      <c r="D124" s="35" t="s">
        <v>69</v>
      </c>
      <c r="E124" s="76">
        <f t="shared" si="1"/>
        <v>0.6423333333</v>
      </c>
      <c r="F124" s="67">
        <f t="shared" si="2"/>
        <v>0.8008</v>
      </c>
      <c r="G124" s="77">
        <f t="shared" si="3"/>
        <v>0.671</v>
      </c>
      <c r="H124" s="77">
        <f t="shared" si="4"/>
        <v>0.8438333333</v>
      </c>
      <c r="I124" s="70">
        <f t="shared" si="5"/>
        <v>1021</v>
      </c>
      <c r="J124" s="35">
        <f t="shared" si="6"/>
        <v>6144</v>
      </c>
      <c r="K124" s="78">
        <f t="shared" si="7"/>
        <v>22663</v>
      </c>
    </row>
    <row r="125" ht="30.75" customHeight="1">
      <c r="C125" s="34" t="s">
        <v>55</v>
      </c>
      <c r="D125" s="35" t="s">
        <v>69</v>
      </c>
      <c r="E125" s="76">
        <f t="shared" si="1"/>
        <v>0.6842857143</v>
      </c>
      <c r="F125" s="67">
        <f t="shared" si="2"/>
        <v>0.7888</v>
      </c>
      <c r="G125" s="77">
        <f t="shared" si="3"/>
        <v>0.7783333333</v>
      </c>
      <c r="H125" s="77">
        <f t="shared" si="4"/>
        <v>0.8827142857</v>
      </c>
      <c r="I125" s="70">
        <f t="shared" si="5"/>
        <v>549</v>
      </c>
      <c r="J125" s="35">
        <f t="shared" si="6"/>
        <v>4338</v>
      </c>
      <c r="K125" s="78">
        <f t="shared" si="7"/>
        <v>11032.534</v>
      </c>
    </row>
    <row r="126" ht="30.75" customHeight="1">
      <c r="C126" s="34" t="s">
        <v>34</v>
      </c>
      <c r="D126" s="35" t="s">
        <v>69</v>
      </c>
      <c r="E126" s="76">
        <f t="shared" si="1"/>
        <v>0.641</v>
      </c>
      <c r="F126" s="67">
        <f t="shared" si="2"/>
        <v>0.8046</v>
      </c>
      <c r="G126" s="77">
        <f t="shared" si="3"/>
        <v>0.7293333333</v>
      </c>
      <c r="H126" s="77">
        <f t="shared" si="4"/>
        <v>0.8517142857</v>
      </c>
      <c r="I126" s="70">
        <f t="shared" si="5"/>
        <v>525</v>
      </c>
      <c r="J126" s="35">
        <f t="shared" si="6"/>
        <v>6132</v>
      </c>
      <c r="K126" s="78">
        <f t="shared" si="7"/>
        <v>24816</v>
      </c>
    </row>
    <row r="127" ht="30.0" customHeight="1">
      <c r="C127" s="34" t="s">
        <v>47</v>
      </c>
      <c r="D127" s="35" t="s">
        <v>56</v>
      </c>
      <c r="E127" s="76">
        <f t="shared" si="1"/>
        <v>0.7345714286</v>
      </c>
      <c r="F127" s="67">
        <f t="shared" si="2"/>
        <v>0.796</v>
      </c>
      <c r="G127" s="77">
        <f t="shared" si="3"/>
        <v>0.7828333333</v>
      </c>
      <c r="H127" s="77">
        <f t="shared" si="4"/>
        <v>0.9378571429</v>
      </c>
      <c r="I127" s="70">
        <f t="shared" si="5"/>
        <v>761</v>
      </c>
      <c r="J127" s="35">
        <f t="shared" si="6"/>
        <v>2042</v>
      </c>
      <c r="K127" s="78">
        <f t="shared" si="7"/>
        <v>24585</v>
      </c>
    </row>
    <row r="128" ht="31.5" customHeight="1">
      <c r="C128" s="34" t="s">
        <v>49</v>
      </c>
      <c r="D128" s="44" t="s">
        <v>56</v>
      </c>
      <c r="E128" s="76">
        <f t="shared" si="1"/>
        <v>0.7204285714</v>
      </c>
      <c r="F128" s="77">
        <f t="shared" si="2"/>
        <v>0.829</v>
      </c>
      <c r="G128" s="77">
        <f t="shared" si="3"/>
        <v>0.7815</v>
      </c>
      <c r="H128" s="77">
        <f t="shared" si="4"/>
        <v>0.949</v>
      </c>
      <c r="I128" s="70">
        <f t="shared" si="5"/>
        <v>789</v>
      </c>
      <c r="J128" s="35">
        <f t="shared" si="6"/>
        <v>1770</v>
      </c>
      <c r="K128" s="78">
        <f t="shared" si="7"/>
        <v>34151</v>
      </c>
    </row>
    <row r="129" ht="33.75" customHeight="1">
      <c r="C129" s="34" t="s">
        <v>53</v>
      </c>
      <c r="D129" s="44" t="s">
        <v>56</v>
      </c>
      <c r="E129" s="76">
        <f t="shared" si="1"/>
        <v>0.7114285714</v>
      </c>
      <c r="F129" s="77">
        <f t="shared" si="2"/>
        <v>0.7774</v>
      </c>
      <c r="G129" s="77">
        <f t="shared" si="3"/>
        <v>0.6933333333</v>
      </c>
      <c r="H129" s="77">
        <f t="shared" si="4"/>
        <v>0.9405</v>
      </c>
      <c r="I129" s="70">
        <f t="shared" si="5"/>
        <v>1207</v>
      </c>
      <c r="J129" s="35">
        <f t="shared" si="6"/>
        <v>1778</v>
      </c>
      <c r="K129" s="78">
        <f t="shared" si="7"/>
        <v>24745</v>
      </c>
    </row>
    <row r="130" ht="32.25" customHeight="1">
      <c r="C130" s="34" t="s">
        <v>54</v>
      </c>
      <c r="D130" s="35" t="s">
        <v>56</v>
      </c>
      <c r="E130" s="76">
        <f t="shared" si="1"/>
        <v>0.722</v>
      </c>
      <c r="F130" s="67">
        <f t="shared" si="2"/>
        <v>0.796</v>
      </c>
      <c r="G130" s="77">
        <f t="shared" si="3"/>
        <v>0.5184</v>
      </c>
      <c r="H130" s="77">
        <f t="shared" si="4"/>
        <v>0.9435714286</v>
      </c>
      <c r="I130" s="70">
        <f t="shared" si="5"/>
        <v>1806</v>
      </c>
      <c r="J130" s="35">
        <f t="shared" si="6"/>
        <v>2048</v>
      </c>
      <c r="K130" s="78">
        <f t="shared" si="7"/>
        <v>24388</v>
      </c>
    </row>
    <row r="131" ht="30.0" customHeight="1">
      <c r="C131" s="34" t="s">
        <v>55</v>
      </c>
      <c r="D131" s="35" t="s">
        <v>56</v>
      </c>
      <c r="E131" s="76">
        <f t="shared" si="1"/>
        <v>0.7167142857</v>
      </c>
      <c r="F131" s="77">
        <f t="shared" si="2"/>
        <v>0.7746</v>
      </c>
      <c r="G131" s="77">
        <f t="shared" si="3"/>
        <v>0.7704</v>
      </c>
      <c r="H131" s="77">
        <f t="shared" si="4"/>
        <v>0.9295714286</v>
      </c>
      <c r="I131" s="70">
        <f t="shared" si="5"/>
        <v>371</v>
      </c>
      <c r="J131" s="35">
        <f t="shared" si="6"/>
        <v>1666</v>
      </c>
      <c r="K131" s="78">
        <f t="shared" si="7"/>
        <v>25089</v>
      </c>
    </row>
    <row r="132" ht="29.25" customHeight="1">
      <c r="C132" s="34" t="s">
        <v>75</v>
      </c>
      <c r="D132" s="35" t="s">
        <v>56</v>
      </c>
      <c r="E132" s="76">
        <f t="shared" si="1"/>
        <v>0.716</v>
      </c>
      <c r="F132" s="77">
        <f t="shared" si="2"/>
        <v>0.78725</v>
      </c>
      <c r="G132" s="77">
        <f t="shared" si="3"/>
        <v>0.7383333333</v>
      </c>
      <c r="H132" s="77">
        <f t="shared" si="4"/>
        <v>0.93575</v>
      </c>
      <c r="I132" s="70">
        <f t="shared" si="5"/>
        <v>373</v>
      </c>
      <c r="J132" s="35">
        <f t="shared" si="6"/>
        <v>2098</v>
      </c>
      <c r="K132" s="78">
        <f t="shared" si="7"/>
        <v>24365</v>
      </c>
    </row>
    <row r="133" ht="32.25" customHeight="1">
      <c r="C133" s="3" t="s">
        <v>70</v>
      </c>
      <c r="D133" s="35" t="s">
        <v>48</v>
      </c>
      <c r="E133" s="76">
        <f t="shared" si="1"/>
        <v>0.6718571429</v>
      </c>
      <c r="F133" s="67">
        <f t="shared" si="2"/>
        <v>0.7372</v>
      </c>
      <c r="G133" s="77">
        <f t="shared" si="3"/>
        <v>0.8761666667</v>
      </c>
      <c r="H133" s="77">
        <f t="shared" si="4"/>
        <v>0.9327142857</v>
      </c>
      <c r="I133" s="70">
        <f t="shared" si="5"/>
        <v>310</v>
      </c>
      <c r="J133" s="70">
        <f t="shared" si="6"/>
        <v>2458</v>
      </c>
      <c r="K133" s="78">
        <f t="shared" si="7"/>
        <v>33204</v>
      </c>
    </row>
    <row r="134" ht="33.0" customHeight="1">
      <c r="C134" s="3" t="s">
        <v>71</v>
      </c>
      <c r="D134" s="44" t="s">
        <v>72</v>
      </c>
      <c r="E134" s="76">
        <f t="shared" si="1"/>
        <v>0.6552857143</v>
      </c>
      <c r="F134" s="67">
        <f t="shared" si="2"/>
        <v>0.74425</v>
      </c>
      <c r="G134" s="77">
        <f t="shared" si="3"/>
        <v>0.8718333333</v>
      </c>
      <c r="H134" s="77">
        <f t="shared" si="4"/>
        <v>0.8987142857</v>
      </c>
      <c r="I134" s="70">
        <f t="shared" si="5"/>
        <v>439</v>
      </c>
      <c r="J134" s="70">
        <f t="shared" si="6"/>
        <v>5583</v>
      </c>
      <c r="K134" s="78">
        <f t="shared" si="7"/>
        <v>31882</v>
      </c>
    </row>
    <row r="135" ht="33.0" customHeight="1">
      <c r="C135" s="34" t="s">
        <v>76</v>
      </c>
      <c r="D135" s="35" t="s">
        <v>48</v>
      </c>
      <c r="E135" s="76">
        <f t="shared" si="1"/>
        <v>0.7481428571</v>
      </c>
      <c r="F135" s="67">
        <f t="shared" si="2"/>
        <v>0.8224</v>
      </c>
      <c r="G135" s="77">
        <f t="shared" si="3"/>
        <v>0.6966666667</v>
      </c>
      <c r="H135" s="77">
        <f t="shared" si="4"/>
        <v>0.9174285714</v>
      </c>
      <c r="I135" s="70">
        <f t="shared" si="5"/>
        <v>558</v>
      </c>
      <c r="J135" s="35">
        <f t="shared" si="6"/>
        <v>3410</v>
      </c>
      <c r="K135" s="78">
        <f t="shared" si="7"/>
        <v>19030</v>
      </c>
    </row>
    <row r="136">
      <c r="E136" s="79"/>
    </row>
    <row r="137">
      <c r="E137" s="79"/>
    </row>
    <row r="138">
      <c r="E138" s="79"/>
    </row>
    <row r="139">
      <c r="E139" s="79"/>
    </row>
    <row r="140">
      <c r="E140" s="79"/>
    </row>
    <row r="141">
      <c r="E141" s="79"/>
    </row>
    <row r="142">
      <c r="E142" s="79"/>
    </row>
    <row r="143">
      <c r="E143" s="79"/>
    </row>
    <row r="144">
      <c r="E144" s="79"/>
    </row>
    <row r="145">
      <c r="E145" s="79"/>
    </row>
    <row r="146">
      <c r="E146" s="79"/>
    </row>
    <row r="147">
      <c r="E147" s="79"/>
    </row>
    <row r="148">
      <c r="E148" s="79"/>
    </row>
    <row r="149">
      <c r="E149" s="79"/>
    </row>
    <row r="150">
      <c r="E150" s="79"/>
    </row>
    <row r="151">
      <c r="E151" s="79"/>
    </row>
    <row r="152">
      <c r="E152" s="79"/>
    </row>
    <row r="153">
      <c r="E153" s="79"/>
    </row>
    <row r="154">
      <c r="E154" s="79"/>
    </row>
    <row r="155">
      <c r="E155" s="79"/>
    </row>
    <row r="156">
      <c r="E156" s="79"/>
    </row>
    <row r="157">
      <c r="E157" s="79"/>
    </row>
    <row r="158">
      <c r="E158" s="79"/>
    </row>
    <row r="159">
      <c r="E159" s="79"/>
    </row>
    <row r="160">
      <c r="E160" s="79"/>
    </row>
    <row r="161">
      <c r="E161" s="79"/>
    </row>
    <row r="162">
      <c r="E162" s="79"/>
    </row>
    <row r="163">
      <c r="E163" s="79"/>
    </row>
    <row r="164">
      <c r="E164" s="79"/>
    </row>
    <row r="165">
      <c r="E165" s="79"/>
    </row>
    <row r="166">
      <c r="E166" s="79"/>
    </row>
    <row r="167">
      <c r="E167" s="79"/>
    </row>
    <row r="168">
      <c r="E168" s="79"/>
    </row>
    <row r="169">
      <c r="E169" s="79"/>
    </row>
    <row r="170">
      <c r="E170" s="79"/>
    </row>
    <row r="171">
      <c r="E171" s="79"/>
    </row>
    <row r="172">
      <c r="E172" s="79"/>
    </row>
    <row r="173">
      <c r="E173" s="79"/>
    </row>
    <row r="174">
      <c r="E174" s="79"/>
    </row>
    <row r="175">
      <c r="E175" s="79"/>
    </row>
    <row r="176">
      <c r="E176" s="79"/>
    </row>
    <row r="177">
      <c r="E177" s="79"/>
    </row>
    <row r="178">
      <c r="E178" s="79"/>
    </row>
    <row r="179">
      <c r="E179" s="79"/>
    </row>
    <row r="180">
      <c r="E180" s="79"/>
    </row>
    <row r="181">
      <c r="E181" s="79"/>
    </row>
    <row r="182">
      <c r="E182" s="79"/>
    </row>
    <row r="183">
      <c r="E183" s="79"/>
    </row>
    <row r="184">
      <c r="E184" s="79"/>
    </row>
    <row r="185">
      <c r="E185" s="79"/>
    </row>
    <row r="186">
      <c r="E186" s="79"/>
    </row>
    <row r="187">
      <c r="E187" s="79"/>
    </row>
    <row r="188">
      <c r="E188" s="79"/>
    </row>
    <row r="189">
      <c r="E189" s="79"/>
    </row>
    <row r="190">
      <c r="E190" s="79"/>
    </row>
    <row r="191">
      <c r="E191" s="79"/>
    </row>
    <row r="192">
      <c r="E192" s="79"/>
    </row>
    <row r="193">
      <c r="E193" s="79"/>
    </row>
    <row r="194">
      <c r="E194" s="79"/>
    </row>
    <row r="195">
      <c r="E195" s="79"/>
    </row>
    <row r="196">
      <c r="E196" s="79"/>
    </row>
    <row r="197">
      <c r="E197" s="79"/>
    </row>
    <row r="198">
      <c r="E198" s="79"/>
    </row>
    <row r="199">
      <c r="E199" s="79"/>
    </row>
    <row r="200">
      <c r="E200" s="79"/>
    </row>
    <row r="201">
      <c r="E201" s="79"/>
    </row>
    <row r="202">
      <c r="E202" s="79"/>
    </row>
    <row r="203">
      <c r="E203" s="79"/>
    </row>
    <row r="204">
      <c r="E204" s="79"/>
    </row>
    <row r="205">
      <c r="E205" s="79"/>
    </row>
    <row r="206">
      <c r="E206" s="79"/>
    </row>
    <row r="207">
      <c r="E207" s="79"/>
    </row>
    <row r="208">
      <c r="E208" s="79"/>
    </row>
    <row r="209">
      <c r="E209" s="79"/>
    </row>
    <row r="210">
      <c r="E210" s="79"/>
    </row>
    <row r="211">
      <c r="E211" s="79"/>
    </row>
    <row r="212">
      <c r="E212" s="79"/>
    </row>
    <row r="213">
      <c r="E213" s="79"/>
    </row>
    <row r="214">
      <c r="E214" s="79"/>
    </row>
    <row r="215">
      <c r="E215" s="79"/>
    </row>
    <row r="216">
      <c r="E216" s="79"/>
    </row>
    <row r="217">
      <c r="E217" s="79"/>
    </row>
    <row r="218">
      <c r="E218" s="79"/>
    </row>
    <row r="219">
      <c r="E219" s="79"/>
    </row>
    <row r="220">
      <c r="E220" s="79"/>
    </row>
    <row r="221">
      <c r="E221" s="79"/>
    </row>
    <row r="222">
      <c r="E222" s="79"/>
    </row>
    <row r="223">
      <c r="E223" s="79"/>
    </row>
    <row r="224">
      <c r="E224" s="79"/>
    </row>
    <row r="225">
      <c r="E225" s="79"/>
    </row>
    <row r="226">
      <c r="E226" s="79"/>
    </row>
    <row r="227">
      <c r="E227" s="79"/>
    </row>
    <row r="228">
      <c r="E228" s="79"/>
    </row>
    <row r="229">
      <c r="E229" s="79"/>
    </row>
    <row r="230">
      <c r="E230" s="79"/>
    </row>
    <row r="231">
      <c r="E231" s="79"/>
    </row>
    <row r="232">
      <c r="E232" s="79"/>
    </row>
    <row r="233">
      <c r="E233" s="79"/>
    </row>
    <row r="234">
      <c r="E234" s="79"/>
    </row>
    <row r="235">
      <c r="E235" s="79"/>
    </row>
    <row r="236">
      <c r="E236" s="79"/>
    </row>
    <row r="237">
      <c r="E237" s="79"/>
    </row>
    <row r="238">
      <c r="E238" s="79"/>
    </row>
    <row r="239">
      <c r="E239" s="79"/>
    </row>
    <row r="240">
      <c r="E240" s="79"/>
    </row>
    <row r="241">
      <c r="E241" s="79"/>
    </row>
    <row r="242">
      <c r="E242" s="79"/>
    </row>
    <row r="243">
      <c r="E243" s="79"/>
    </row>
    <row r="244">
      <c r="E244" s="79"/>
    </row>
    <row r="245">
      <c r="E245" s="79"/>
    </row>
    <row r="246">
      <c r="E246" s="79"/>
    </row>
    <row r="247">
      <c r="E247" s="79"/>
    </row>
    <row r="248">
      <c r="E248" s="79"/>
    </row>
    <row r="249">
      <c r="E249" s="79"/>
    </row>
    <row r="250">
      <c r="E250" s="79"/>
    </row>
    <row r="251">
      <c r="E251" s="79"/>
    </row>
    <row r="252">
      <c r="E252" s="79"/>
    </row>
    <row r="253">
      <c r="E253" s="79"/>
    </row>
    <row r="254">
      <c r="E254" s="79"/>
    </row>
    <row r="255">
      <c r="E255" s="79"/>
    </row>
    <row r="256">
      <c r="E256" s="79"/>
    </row>
    <row r="257">
      <c r="E257" s="79"/>
    </row>
    <row r="258">
      <c r="E258" s="79"/>
    </row>
    <row r="259">
      <c r="E259" s="79"/>
    </row>
    <row r="260">
      <c r="E260" s="79"/>
    </row>
    <row r="261">
      <c r="E261" s="79"/>
    </row>
    <row r="262">
      <c r="E262" s="79"/>
    </row>
    <row r="263">
      <c r="E263" s="79"/>
    </row>
    <row r="264">
      <c r="E264" s="79"/>
    </row>
    <row r="265">
      <c r="E265" s="79"/>
    </row>
    <row r="266">
      <c r="E266" s="79"/>
    </row>
    <row r="267">
      <c r="E267" s="79"/>
    </row>
    <row r="268">
      <c r="E268" s="79"/>
    </row>
    <row r="269">
      <c r="E269" s="79"/>
    </row>
    <row r="270">
      <c r="E270" s="79"/>
    </row>
    <row r="271">
      <c r="E271" s="79"/>
    </row>
    <row r="272">
      <c r="E272" s="79"/>
    </row>
    <row r="273">
      <c r="E273" s="79"/>
    </row>
    <row r="274">
      <c r="E274" s="79"/>
    </row>
    <row r="275">
      <c r="E275" s="79"/>
    </row>
    <row r="276">
      <c r="E276" s="79"/>
    </row>
    <row r="277">
      <c r="E277" s="79"/>
    </row>
    <row r="278">
      <c r="E278" s="79"/>
    </row>
    <row r="279">
      <c r="E279" s="79"/>
    </row>
    <row r="280">
      <c r="E280" s="79"/>
    </row>
    <row r="281">
      <c r="E281" s="79"/>
    </row>
    <row r="282">
      <c r="E282" s="79"/>
    </row>
    <row r="283">
      <c r="E283" s="79"/>
    </row>
    <row r="284">
      <c r="E284" s="79"/>
    </row>
    <row r="285">
      <c r="E285" s="79"/>
    </row>
    <row r="286">
      <c r="E286" s="79"/>
    </row>
    <row r="287">
      <c r="E287" s="79"/>
    </row>
    <row r="288">
      <c r="E288" s="79"/>
    </row>
    <row r="289">
      <c r="E289" s="79"/>
    </row>
    <row r="290">
      <c r="E290" s="79"/>
    </row>
    <row r="291">
      <c r="E291" s="79"/>
    </row>
    <row r="292">
      <c r="E292" s="79"/>
    </row>
    <row r="293">
      <c r="E293" s="79"/>
    </row>
    <row r="294">
      <c r="E294" s="79"/>
    </row>
    <row r="295">
      <c r="E295" s="79"/>
    </row>
    <row r="296">
      <c r="E296" s="79"/>
    </row>
    <row r="297">
      <c r="E297" s="79"/>
    </row>
    <row r="298">
      <c r="E298" s="79"/>
    </row>
    <row r="299">
      <c r="E299" s="79"/>
    </row>
    <row r="300">
      <c r="E300" s="79"/>
    </row>
    <row r="301">
      <c r="E301" s="79"/>
    </row>
    <row r="302">
      <c r="E302" s="79"/>
    </row>
    <row r="303">
      <c r="E303" s="79"/>
    </row>
    <row r="304">
      <c r="E304" s="79"/>
    </row>
    <row r="305">
      <c r="E305" s="79"/>
    </row>
    <row r="306">
      <c r="E306" s="79"/>
    </row>
    <row r="307">
      <c r="E307" s="79"/>
    </row>
    <row r="308">
      <c r="E308" s="79"/>
    </row>
    <row r="309">
      <c r="E309" s="79"/>
    </row>
    <row r="310">
      <c r="E310" s="79"/>
    </row>
    <row r="311">
      <c r="E311" s="79"/>
    </row>
    <row r="312">
      <c r="E312" s="79"/>
    </row>
    <row r="313">
      <c r="E313" s="79"/>
    </row>
    <row r="314">
      <c r="E314" s="79"/>
    </row>
    <row r="315">
      <c r="E315" s="79"/>
    </row>
    <row r="316">
      <c r="E316" s="79"/>
    </row>
    <row r="317">
      <c r="E317" s="79"/>
    </row>
    <row r="318">
      <c r="E318" s="79"/>
    </row>
    <row r="319">
      <c r="E319" s="79"/>
    </row>
    <row r="320">
      <c r="E320" s="79"/>
    </row>
    <row r="321">
      <c r="E321" s="79"/>
    </row>
    <row r="322">
      <c r="E322" s="79"/>
    </row>
    <row r="323">
      <c r="E323" s="79"/>
    </row>
    <row r="324">
      <c r="E324" s="79"/>
    </row>
    <row r="325">
      <c r="E325" s="79"/>
    </row>
    <row r="326">
      <c r="E326" s="79"/>
    </row>
    <row r="327">
      <c r="E327" s="79"/>
    </row>
    <row r="328">
      <c r="E328" s="79"/>
    </row>
    <row r="329">
      <c r="E329" s="79"/>
    </row>
    <row r="330">
      <c r="E330" s="79"/>
    </row>
    <row r="331">
      <c r="E331" s="79"/>
    </row>
    <row r="332">
      <c r="E332" s="79"/>
    </row>
    <row r="333">
      <c r="E333" s="79"/>
    </row>
    <row r="334">
      <c r="E334" s="79"/>
    </row>
    <row r="335">
      <c r="E335" s="79"/>
    </row>
    <row r="336">
      <c r="E336" s="79"/>
    </row>
    <row r="337">
      <c r="E337" s="79"/>
    </row>
    <row r="338">
      <c r="E338" s="79"/>
    </row>
    <row r="339">
      <c r="E339" s="79"/>
    </row>
    <row r="340">
      <c r="E340" s="79"/>
    </row>
    <row r="341">
      <c r="E341" s="79"/>
    </row>
    <row r="342">
      <c r="E342" s="79"/>
    </row>
    <row r="343">
      <c r="E343" s="79"/>
    </row>
    <row r="344">
      <c r="E344" s="79"/>
    </row>
    <row r="345">
      <c r="E345" s="79"/>
    </row>
    <row r="346">
      <c r="E346" s="79"/>
    </row>
    <row r="347">
      <c r="E347" s="79"/>
    </row>
    <row r="348">
      <c r="E348" s="79"/>
    </row>
    <row r="349">
      <c r="E349" s="79"/>
    </row>
    <row r="350">
      <c r="E350" s="79"/>
    </row>
    <row r="351">
      <c r="E351" s="79"/>
    </row>
    <row r="352">
      <c r="E352" s="79"/>
    </row>
    <row r="353">
      <c r="E353" s="79"/>
    </row>
    <row r="354">
      <c r="E354" s="79"/>
    </row>
    <row r="355">
      <c r="E355" s="79"/>
    </row>
    <row r="356">
      <c r="E356" s="79"/>
    </row>
    <row r="357">
      <c r="E357" s="79"/>
    </row>
    <row r="358">
      <c r="E358" s="79"/>
    </row>
    <row r="359">
      <c r="E359" s="79"/>
    </row>
    <row r="360">
      <c r="E360" s="79"/>
    </row>
    <row r="361">
      <c r="E361" s="79"/>
    </row>
    <row r="362">
      <c r="E362" s="79"/>
    </row>
    <row r="363">
      <c r="E363" s="79"/>
    </row>
    <row r="364">
      <c r="E364" s="79"/>
    </row>
    <row r="365">
      <c r="E365" s="79"/>
    </row>
    <row r="366">
      <c r="E366" s="79"/>
    </row>
    <row r="367">
      <c r="E367" s="79"/>
    </row>
    <row r="368">
      <c r="E368" s="79"/>
    </row>
    <row r="369">
      <c r="E369" s="79"/>
    </row>
    <row r="370">
      <c r="E370" s="79"/>
    </row>
    <row r="371">
      <c r="E371" s="79"/>
    </row>
    <row r="372">
      <c r="E372" s="79"/>
    </row>
    <row r="373">
      <c r="E373" s="79"/>
    </row>
    <row r="374">
      <c r="E374" s="79"/>
    </row>
    <row r="375">
      <c r="E375" s="79"/>
    </row>
    <row r="376">
      <c r="E376" s="79"/>
    </row>
    <row r="377">
      <c r="E377" s="79"/>
    </row>
    <row r="378">
      <c r="E378" s="79"/>
    </row>
    <row r="379">
      <c r="E379" s="79"/>
    </row>
    <row r="380">
      <c r="E380" s="79"/>
    </row>
    <row r="381">
      <c r="E381" s="79"/>
    </row>
    <row r="382">
      <c r="E382" s="79"/>
    </row>
    <row r="383">
      <c r="E383" s="79"/>
    </row>
    <row r="384">
      <c r="E384" s="79"/>
    </row>
    <row r="385">
      <c r="E385" s="79"/>
    </row>
    <row r="386">
      <c r="E386" s="79"/>
    </row>
    <row r="387">
      <c r="E387" s="79"/>
    </row>
    <row r="388">
      <c r="E388" s="79"/>
    </row>
    <row r="389">
      <c r="E389" s="79"/>
    </row>
    <row r="390">
      <c r="E390" s="79"/>
    </row>
    <row r="391">
      <c r="E391" s="79"/>
    </row>
    <row r="392">
      <c r="E392" s="79"/>
    </row>
    <row r="393">
      <c r="E393" s="79"/>
    </row>
    <row r="394">
      <c r="E394" s="79"/>
    </row>
    <row r="395">
      <c r="E395" s="79"/>
    </row>
    <row r="396">
      <c r="E396" s="79"/>
    </row>
    <row r="397">
      <c r="E397" s="79"/>
    </row>
    <row r="398">
      <c r="E398" s="79"/>
    </row>
    <row r="399">
      <c r="E399" s="79"/>
    </row>
    <row r="400">
      <c r="E400" s="79"/>
    </row>
    <row r="401">
      <c r="E401" s="79"/>
    </row>
    <row r="402">
      <c r="E402" s="79"/>
    </row>
    <row r="403">
      <c r="E403" s="79"/>
    </row>
    <row r="404">
      <c r="E404" s="79"/>
    </row>
    <row r="405">
      <c r="E405" s="79"/>
    </row>
    <row r="406">
      <c r="E406" s="79"/>
    </row>
    <row r="407">
      <c r="E407" s="79"/>
    </row>
    <row r="408">
      <c r="E408" s="79"/>
    </row>
    <row r="409">
      <c r="E409" s="79"/>
    </row>
    <row r="410">
      <c r="E410" s="79"/>
    </row>
    <row r="411">
      <c r="E411" s="79"/>
    </row>
    <row r="412">
      <c r="E412" s="79"/>
    </row>
    <row r="413">
      <c r="E413" s="79"/>
    </row>
    <row r="414">
      <c r="E414" s="79"/>
    </row>
    <row r="415">
      <c r="E415" s="79"/>
    </row>
    <row r="416">
      <c r="E416" s="79"/>
    </row>
    <row r="417">
      <c r="E417" s="79"/>
    </row>
    <row r="418">
      <c r="E418" s="79"/>
    </row>
    <row r="419">
      <c r="E419" s="79"/>
    </row>
    <row r="420">
      <c r="E420" s="79"/>
    </row>
    <row r="421">
      <c r="E421" s="79"/>
    </row>
    <row r="422">
      <c r="E422" s="79"/>
    </row>
    <row r="423">
      <c r="E423" s="79"/>
    </row>
    <row r="424">
      <c r="E424" s="79"/>
    </row>
    <row r="425">
      <c r="E425" s="79"/>
    </row>
    <row r="426">
      <c r="E426" s="79"/>
    </row>
    <row r="427">
      <c r="E427" s="79"/>
    </row>
    <row r="428">
      <c r="E428" s="79"/>
    </row>
    <row r="429">
      <c r="E429" s="79"/>
    </row>
    <row r="430">
      <c r="E430" s="79"/>
    </row>
    <row r="431">
      <c r="E431" s="79"/>
    </row>
    <row r="432">
      <c r="E432" s="79"/>
    </row>
    <row r="433">
      <c r="E433" s="79"/>
    </row>
    <row r="434">
      <c r="E434" s="79"/>
    </row>
    <row r="435">
      <c r="E435" s="79"/>
    </row>
    <row r="436">
      <c r="E436" s="79"/>
    </row>
    <row r="437">
      <c r="E437" s="79"/>
    </row>
    <row r="438">
      <c r="E438" s="79"/>
    </row>
    <row r="439">
      <c r="E439" s="79"/>
    </row>
    <row r="440">
      <c r="E440" s="79"/>
    </row>
    <row r="441">
      <c r="E441" s="79"/>
    </row>
    <row r="442">
      <c r="E442" s="79"/>
    </row>
    <row r="443">
      <c r="E443" s="79"/>
    </row>
    <row r="444">
      <c r="E444" s="79"/>
    </row>
    <row r="445">
      <c r="E445" s="79"/>
    </row>
    <row r="446">
      <c r="E446" s="79"/>
    </row>
    <row r="447">
      <c r="E447" s="79"/>
    </row>
    <row r="448">
      <c r="E448" s="79"/>
    </row>
    <row r="449">
      <c r="E449" s="79"/>
    </row>
    <row r="450">
      <c r="E450" s="79"/>
    </row>
    <row r="451">
      <c r="E451" s="79"/>
    </row>
    <row r="452">
      <c r="E452" s="79"/>
    </row>
    <row r="453">
      <c r="E453" s="79"/>
    </row>
    <row r="454">
      <c r="E454" s="79"/>
    </row>
    <row r="455">
      <c r="E455" s="79"/>
    </row>
    <row r="456">
      <c r="E456" s="79"/>
    </row>
    <row r="457">
      <c r="E457" s="79"/>
    </row>
    <row r="458">
      <c r="E458" s="79"/>
    </row>
    <row r="459">
      <c r="E459" s="79"/>
    </row>
    <row r="460">
      <c r="E460" s="79"/>
    </row>
    <row r="461">
      <c r="E461" s="79"/>
    </row>
    <row r="462">
      <c r="E462" s="79"/>
    </row>
    <row r="463">
      <c r="E463" s="79"/>
    </row>
    <row r="464">
      <c r="E464" s="79"/>
    </row>
    <row r="465">
      <c r="E465" s="79"/>
    </row>
    <row r="466">
      <c r="E466" s="79"/>
    </row>
    <row r="467">
      <c r="E467" s="79"/>
    </row>
    <row r="468">
      <c r="E468" s="79"/>
    </row>
    <row r="469">
      <c r="E469" s="79"/>
    </row>
    <row r="470">
      <c r="E470" s="79"/>
    </row>
    <row r="471">
      <c r="E471" s="79"/>
    </row>
    <row r="472">
      <c r="E472" s="79"/>
    </row>
    <row r="473">
      <c r="E473" s="79"/>
    </row>
    <row r="474">
      <c r="E474" s="79"/>
    </row>
    <row r="475">
      <c r="E475" s="79"/>
    </row>
    <row r="476">
      <c r="E476" s="79"/>
    </row>
    <row r="477">
      <c r="E477" s="79"/>
    </row>
    <row r="478">
      <c r="E478" s="79"/>
    </row>
    <row r="479">
      <c r="E479" s="79"/>
    </row>
    <row r="480">
      <c r="E480" s="79"/>
    </row>
    <row r="481">
      <c r="E481" s="79"/>
    </row>
    <row r="482">
      <c r="E482" s="79"/>
    </row>
    <row r="483">
      <c r="E483" s="79"/>
    </row>
    <row r="484">
      <c r="E484" s="79"/>
    </row>
    <row r="485">
      <c r="E485" s="79"/>
    </row>
    <row r="486">
      <c r="E486" s="79"/>
    </row>
    <row r="487">
      <c r="E487" s="79"/>
    </row>
    <row r="488">
      <c r="E488" s="79"/>
    </row>
    <row r="489">
      <c r="E489" s="79"/>
    </row>
    <row r="490">
      <c r="E490" s="79"/>
    </row>
    <row r="491">
      <c r="E491" s="79"/>
    </row>
    <row r="492">
      <c r="E492" s="79"/>
    </row>
    <row r="493">
      <c r="E493" s="79"/>
    </row>
    <row r="494">
      <c r="E494" s="79"/>
    </row>
    <row r="495">
      <c r="E495" s="79"/>
    </row>
    <row r="496">
      <c r="E496" s="79"/>
    </row>
    <row r="497">
      <c r="E497" s="79"/>
    </row>
    <row r="498">
      <c r="E498" s="79"/>
    </row>
    <row r="499">
      <c r="E499" s="79"/>
    </row>
    <row r="500">
      <c r="E500" s="79"/>
    </row>
    <row r="501">
      <c r="E501" s="79"/>
    </row>
    <row r="502">
      <c r="E502" s="79"/>
    </row>
    <row r="503">
      <c r="E503" s="79"/>
    </row>
    <row r="504">
      <c r="E504" s="79"/>
    </row>
    <row r="505">
      <c r="E505" s="79"/>
    </row>
    <row r="506">
      <c r="E506" s="79"/>
    </row>
    <row r="507">
      <c r="E507" s="79"/>
    </row>
    <row r="508">
      <c r="E508" s="79"/>
    </row>
    <row r="509">
      <c r="E509" s="79"/>
    </row>
    <row r="510">
      <c r="E510" s="79"/>
    </row>
    <row r="511">
      <c r="E511" s="79"/>
    </row>
    <row r="512">
      <c r="E512" s="79"/>
    </row>
    <row r="513">
      <c r="E513" s="79"/>
    </row>
    <row r="514">
      <c r="E514" s="79"/>
    </row>
    <row r="515">
      <c r="E515" s="79"/>
    </row>
    <row r="516">
      <c r="E516" s="79"/>
    </row>
    <row r="517">
      <c r="E517" s="79"/>
    </row>
    <row r="518">
      <c r="E518" s="79"/>
    </row>
    <row r="519">
      <c r="E519" s="79"/>
    </row>
    <row r="520">
      <c r="E520" s="79"/>
    </row>
    <row r="521">
      <c r="E521" s="79"/>
    </row>
    <row r="522">
      <c r="E522" s="79"/>
    </row>
    <row r="523">
      <c r="E523" s="79"/>
    </row>
    <row r="524">
      <c r="E524" s="79"/>
    </row>
    <row r="525">
      <c r="E525" s="79"/>
    </row>
    <row r="526">
      <c r="E526" s="79"/>
    </row>
    <row r="527">
      <c r="E527" s="79"/>
    </row>
    <row r="528">
      <c r="E528" s="79"/>
    </row>
    <row r="529">
      <c r="E529" s="79"/>
    </row>
    <row r="530">
      <c r="E530" s="79"/>
    </row>
    <row r="531">
      <c r="E531" s="79"/>
    </row>
    <row r="532">
      <c r="E532" s="79"/>
    </row>
    <row r="533">
      <c r="E533" s="79"/>
    </row>
    <row r="534">
      <c r="E534" s="79"/>
    </row>
    <row r="535">
      <c r="E535" s="79"/>
    </row>
    <row r="536">
      <c r="E536" s="79"/>
    </row>
    <row r="537">
      <c r="E537" s="79"/>
    </row>
    <row r="538">
      <c r="E538" s="79"/>
    </row>
    <row r="539">
      <c r="E539" s="79"/>
    </row>
    <row r="540">
      <c r="E540" s="79"/>
    </row>
    <row r="541">
      <c r="E541" s="79"/>
    </row>
    <row r="542">
      <c r="E542" s="79"/>
    </row>
    <row r="543">
      <c r="E543" s="79"/>
    </row>
    <row r="544">
      <c r="E544" s="79"/>
    </row>
    <row r="545">
      <c r="E545" s="79"/>
    </row>
    <row r="546">
      <c r="E546" s="79"/>
    </row>
    <row r="547">
      <c r="E547" s="79"/>
    </row>
    <row r="548">
      <c r="E548" s="79"/>
    </row>
    <row r="549">
      <c r="E549" s="79"/>
    </row>
    <row r="550">
      <c r="E550" s="79"/>
    </row>
    <row r="551">
      <c r="E551" s="79"/>
    </row>
    <row r="552">
      <c r="E552" s="79"/>
    </row>
    <row r="553">
      <c r="E553" s="79"/>
    </row>
    <row r="554">
      <c r="E554" s="79"/>
    </row>
    <row r="555">
      <c r="E555" s="79"/>
    </row>
    <row r="556">
      <c r="E556" s="79"/>
    </row>
    <row r="557">
      <c r="E557" s="79"/>
    </row>
    <row r="558">
      <c r="E558" s="79"/>
    </row>
    <row r="559">
      <c r="E559" s="79"/>
    </row>
    <row r="560">
      <c r="E560" s="79"/>
    </row>
    <row r="561">
      <c r="E561" s="79"/>
    </row>
    <row r="562">
      <c r="E562" s="79"/>
    </row>
    <row r="563">
      <c r="E563" s="79"/>
    </row>
    <row r="564">
      <c r="E564" s="79"/>
    </row>
    <row r="565">
      <c r="E565" s="79"/>
    </row>
    <row r="566">
      <c r="E566" s="79"/>
    </row>
    <row r="567">
      <c r="E567" s="79"/>
    </row>
    <row r="568">
      <c r="E568" s="79"/>
    </row>
    <row r="569">
      <c r="E569" s="79"/>
    </row>
    <row r="570">
      <c r="E570" s="79"/>
    </row>
    <row r="571">
      <c r="E571" s="79"/>
    </row>
    <row r="572">
      <c r="E572" s="79"/>
    </row>
    <row r="573">
      <c r="E573" s="79"/>
    </row>
    <row r="574">
      <c r="E574" s="79"/>
    </row>
    <row r="575">
      <c r="E575" s="79"/>
    </row>
    <row r="576">
      <c r="E576" s="79"/>
    </row>
    <row r="577">
      <c r="E577" s="79"/>
    </row>
    <row r="578">
      <c r="E578" s="79"/>
    </row>
    <row r="579">
      <c r="E579" s="79"/>
    </row>
    <row r="580">
      <c r="E580" s="79"/>
    </row>
    <row r="581">
      <c r="E581" s="79"/>
    </row>
    <row r="582">
      <c r="E582" s="79"/>
    </row>
    <row r="583">
      <c r="E583" s="79"/>
    </row>
    <row r="584">
      <c r="E584" s="79"/>
    </row>
    <row r="585">
      <c r="E585" s="79"/>
    </row>
    <row r="586">
      <c r="E586" s="79"/>
    </row>
    <row r="587">
      <c r="E587" s="79"/>
    </row>
    <row r="588">
      <c r="E588" s="79"/>
    </row>
    <row r="589">
      <c r="E589" s="79"/>
    </row>
    <row r="590">
      <c r="E590" s="79"/>
    </row>
    <row r="591">
      <c r="E591" s="79"/>
    </row>
    <row r="592">
      <c r="E592" s="79"/>
    </row>
    <row r="593">
      <c r="E593" s="79"/>
    </row>
    <row r="594">
      <c r="E594" s="79"/>
    </row>
    <row r="595">
      <c r="E595" s="79"/>
    </row>
    <row r="596">
      <c r="E596" s="79"/>
    </row>
    <row r="597">
      <c r="E597" s="79"/>
    </row>
    <row r="598">
      <c r="E598" s="79"/>
    </row>
    <row r="599">
      <c r="E599" s="79"/>
    </row>
    <row r="600">
      <c r="E600" s="79"/>
    </row>
    <row r="601">
      <c r="E601" s="79"/>
    </row>
    <row r="602">
      <c r="E602" s="79"/>
    </row>
    <row r="603">
      <c r="E603" s="79"/>
    </row>
    <row r="604">
      <c r="E604" s="79"/>
    </row>
    <row r="605">
      <c r="E605" s="79"/>
    </row>
    <row r="606">
      <c r="E606" s="79"/>
    </row>
    <row r="607">
      <c r="E607" s="79"/>
    </row>
    <row r="608">
      <c r="E608" s="79"/>
    </row>
    <row r="609">
      <c r="E609" s="79"/>
    </row>
    <row r="610">
      <c r="E610" s="79"/>
    </row>
    <row r="611">
      <c r="E611" s="79"/>
    </row>
    <row r="612">
      <c r="E612" s="79"/>
    </row>
    <row r="613">
      <c r="E613" s="79"/>
    </row>
    <row r="614">
      <c r="E614" s="79"/>
    </row>
    <row r="615">
      <c r="E615" s="79"/>
    </row>
    <row r="616">
      <c r="E616" s="79"/>
    </row>
    <row r="617">
      <c r="E617" s="79"/>
    </row>
    <row r="618">
      <c r="E618" s="79"/>
    </row>
    <row r="619">
      <c r="E619" s="79"/>
    </row>
    <row r="620">
      <c r="E620" s="79"/>
    </row>
    <row r="621">
      <c r="E621" s="79"/>
    </row>
    <row r="622">
      <c r="E622" s="79"/>
    </row>
    <row r="623">
      <c r="E623" s="79"/>
    </row>
    <row r="624">
      <c r="E624" s="79"/>
    </row>
    <row r="625">
      <c r="E625" s="79"/>
    </row>
    <row r="626">
      <c r="E626" s="79"/>
    </row>
    <row r="627">
      <c r="E627" s="79"/>
    </row>
    <row r="628">
      <c r="E628" s="79"/>
    </row>
    <row r="629">
      <c r="E629" s="79"/>
    </row>
    <row r="630">
      <c r="E630" s="79"/>
    </row>
    <row r="631">
      <c r="E631" s="79"/>
    </row>
    <row r="632">
      <c r="E632" s="79"/>
    </row>
    <row r="633">
      <c r="E633" s="79"/>
    </row>
    <row r="634">
      <c r="E634" s="79"/>
    </row>
    <row r="635">
      <c r="E635" s="79"/>
    </row>
    <row r="636">
      <c r="E636" s="79"/>
    </row>
    <row r="637">
      <c r="E637" s="79"/>
    </row>
    <row r="638">
      <c r="E638" s="79"/>
    </row>
    <row r="639">
      <c r="E639" s="79"/>
    </row>
    <row r="640">
      <c r="E640" s="79"/>
    </row>
    <row r="641">
      <c r="E641" s="79"/>
    </row>
    <row r="642">
      <c r="E642" s="79"/>
    </row>
    <row r="643">
      <c r="E643" s="79"/>
    </row>
    <row r="644">
      <c r="E644" s="79"/>
    </row>
    <row r="645">
      <c r="E645" s="79"/>
    </row>
    <row r="646">
      <c r="E646" s="79"/>
    </row>
    <row r="647">
      <c r="E647" s="79"/>
    </row>
    <row r="648">
      <c r="E648" s="79"/>
    </row>
    <row r="649">
      <c r="E649" s="79"/>
    </row>
    <row r="650">
      <c r="E650" s="79"/>
    </row>
    <row r="651">
      <c r="E651" s="79"/>
    </row>
    <row r="652">
      <c r="E652" s="79"/>
    </row>
    <row r="653">
      <c r="E653" s="79"/>
    </row>
    <row r="654">
      <c r="E654" s="79"/>
    </row>
    <row r="655">
      <c r="E655" s="79"/>
    </row>
    <row r="656">
      <c r="E656" s="79"/>
    </row>
    <row r="657">
      <c r="E657" s="79"/>
    </row>
    <row r="658">
      <c r="E658" s="79"/>
    </row>
    <row r="659">
      <c r="E659" s="79"/>
    </row>
    <row r="660">
      <c r="E660" s="79"/>
    </row>
    <row r="661">
      <c r="E661" s="79"/>
    </row>
    <row r="662">
      <c r="E662" s="79"/>
    </row>
    <row r="663">
      <c r="E663" s="79"/>
    </row>
    <row r="664">
      <c r="E664" s="79"/>
    </row>
    <row r="665">
      <c r="E665" s="79"/>
    </row>
    <row r="666">
      <c r="E666" s="79"/>
    </row>
    <row r="667">
      <c r="E667" s="79"/>
    </row>
    <row r="668">
      <c r="E668" s="79"/>
    </row>
    <row r="669">
      <c r="E669" s="79"/>
    </row>
    <row r="670">
      <c r="E670" s="79"/>
    </row>
    <row r="671">
      <c r="E671" s="79"/>
    </row>
    <row r="672">
      <c r="E672" s="79"/>
    </row>
    <row r="673">
      <c r="E673" s="79"/>
    </row>
    <row r="674">
      <c r="E674" s="79"/>
    </row>
    <row r="675">
      <c r="E675" s="79"/>
    </row>
    <row r="676">
      <c r="E676" s="79"/>
    </row>
    <row r="677">
      <c r="E677" s="79"/>
    </row>
    <row r="678">
      <c r="E678" s="79"/>
    </row>
    <row r="679">
      <c r="E679" s="79"/>
    </row>
    <row r="680">
      <c r="E680" s="79"/>
    </row>
    <row r="681">
      <c r="E681" s="79"/>
    </row>
    <row r="682">
      <c r="E682" s="79"/>
    </row>
    <row r="683">
      <c r="E683" s="79"/>
    </row>
    <row r="684">
      <c r="E684" s="79"/>
    </row>
    <row r="685">
      <c r="E685" s="79"/>
    </row>
    <row r="686">
      <c r="E686" s="79"/>
    </row>
    <row r="687">
      <c r="E687" s="79"/>
    </row>
    <row r="688">
      <c r="E688" s="79"/>
    </row>
    <row r="689">
      <c r="E689" s="79"/>
    </row>
    <row r="690">
      <c r="E690" s="79"/>
    </row>
    <row r="691">
      <c r="E691" s="79"/>
    </row>
    <row r="692">
      <c r="E692" s="79"/>
    </row>
    <row r="693">
      <c r="E693" s="79"/>
    </row>
    <row r="694">
      <c r="E694" s="79"/>
    </row>
    <row r="695">
      <c r="E695" s="79"/>
    </row>
    <row r="696">
      <c r="E696" s="79"/>
    </row>
    <row r="697">
      <c r="E697" s="79"/>
    </row>
    <row r="698">
      <c r="E698" s="79"/>
    </row>
    <row r="699">
      <c r="E699" s="79"/>
    </row>
    <row r="700">
      <c r="E700" s="79"/>
    </row>
    <row r="701">
      <c r="E701" s="79"/>
    </row>
    <row r="702">
      <c r="E702" s="79"/>
    </row>
    <row r="703">
      <c r="E703" s="79"/>
    </row>
    <row r="704">
      <c r="E704" s="79"/>
    </row>
    <row r="705">
      <c r="E705" s="79"/>
    </row>
    <row r="706">
      <c r="E706" s="79"/>
    </row>
    <row r="707">
      <c r="E707" s="79"/>
    </row>
    <row r="708">
      <c r="E708" s="79"/>
    </row>
    <row r="709">
      <c r="E709" s="79"/>
    </row>
    <row r="710">
      <c r="E710" s="79"/>
    </row>
    <row r="711">
      <c r="E711" s="79"/>
    </row>
    <row r="712">
      <c r="E712" s="79"/>
    </row>
    <row r="713">
      <c r="E713" s="79"/>
    </row>
    <row r="714">
      <c r="E714" s="79"/>
    </row>
    <row r="715">
      <c r="E715" s="79"/>
    </row>
    <row r="716">
      <c r="E716" s="79"/>
    </row>
    <row r="717">
      <c r="E717" s="79"/>
    </row>
    <row r="718">
      <c r="E718" s="79"/>
    </row>
    <row r="719">
      <c r="E719" s="79"/>
    </row>
    <row r="720">
      <c r="E720" s="79"/>
    </row>
    <row r="721">
      <c r="E721" s="79"/>
    </row>
    <row r="722">
      <c r="E722" s="79"/>
    </row>
    <row r="723">
      <c r="E723" s="79"/>
    </row>
    <row r="724">
      <c r="E724" s="79"/>
    </row>
    <row r="725">
      <c r="E725" s="79"/>
    </row>
    <row r="726">
      <c r="E726" s="79"/>
    </row>
    <row r="727">
      <c r="E727" s="79"/>
    </row>
    <row r="728">
      <c r="E728" s="79"/>
    </row>
    <row r="729">
      <c r="E729" s="79"/>
    </row>
    <row r="730">
      <c r="E730" s="79"/>
    </row>
    <row r="731">
      <c r="E731" s="79"/>
    </row>
    <row r="732">
      <c r="E732" s="79"/>
    </row>
    <row r="733">
      <c r="E733" s="79"/>
    </row>
    <row r="734">
      <c r="E734" s="79"/>
    </row>
    <row r="735">
      <c r="E735" s="79"/>
    </row>
    <row r="736">
      <c r="E736" s="79"/>
    </row>
    <row r="737">
      <c r="E737" s="79"/>
    </row>
    <row r="738">
      <c r="E738" s="79"/>
    </row>
    <row r="739">
      <c r="E739" s="79"/>
    </row>
    <row r="740">
      <c r="E740" s="79"/>
    </row>
    <row r="741">
      <c r="E741" s="79"/>
    </row>
    <row r="742">
      <c r="E742" s="79"/>
    </row>
    <row r="743">
      <c r="E743" s="79"/>
    </row>
    <row r="744">
      <c r="E744" s="79"/>
    </row>
    <row r="745">
      <c r="E745" s="79"/>
    </row>
    <row r="746">
      <c r="E746" s="79"/>
    </row>
    <row r="747">
      <c r="E747" s="79"/>
    </row>
    <row r="748">
      <c r="E748" s="79"/>
    </row>
    <row r="749">
      <c r="E749" s="79"/>
    </row>
    <row r="750">
      <c r="E750" s="79"/>
    </row>
    <row r="751">
      <c r="E751" s="79"/>
    </row>
    <row r="752">
      <c r="E752" s="79"/>
    </row>
    <row r="753">
      <c r="E753" s="79"/>
    </row>
    <row r="754">
      <c r="E754" s="79"/>
    </row>
    <row r="755">
      <c r="E755" s="79"/>
    </row>
    <row r="756">
      <c r="E756" s="79"/>
    </row>
    <row r="757">
      <c r="E757" s="79"/>
    </row>
    <row r="758">
      <c r="E758" s="79"/>
    </row>
    <row r="759">
      <c r="E759" s="79"/>
    </row>
    <row r="760">
      <c r="E760" s="79"/>
    </row>
    <row r="761">
      <c r="E761" s="79"/>
    </row>
    <row r="762">
      <c r="E762" s="79"/>
    </row>
    <row r="763">
      <c r="E763" s="79"/>
    </row>
    <row r="764">
      <c r="E764" s="79"/>
    </row>
    <row r="765">
      <c r="E765" s="79"/>
    </row>
    <row r="766">
      <c r="E766" s="79"/>
    </row>
    <row r="767">
      <c r="E767" s="79"/>
    </row>
    <row r="768">
      <c r="E768" s="79"/>
    </row>
    <row r="769">
      <c r="E769" s="79"/>
    </row>
    <row r="770">
      <c r="E770" s="79"/>
    </row>
    <row r="771">
      <c r="E771" s="79"/>
    </row>
    <row r="772">
      <c r="E772" s="79"/>
    </row>
    <row r="773">
      <c r="E773" s="79"/>
    </row>
    <row r="774">
      <c r="E774" s="79"/>
    </row>
    <row r="775">
      <c r="E775" s="79"/>
    </row>
    <row r="776">
      <c r="E776" s="79"/>
    </row>
    <row r="777">
      <c r="E777" s="79"/>
    </row>
    <row r="778">
      <c r="E778" s="79"/>
    </row>
    <row r="779">
      <c r="E779" s="79"/>
    </row>
    <row r="780">
      <c r="E780" s="79"/>
    </row>
    <row r="781">
      <c r="E781" s="79"/>
    </row>
    <row r="782">
      <c r="E782" s="79"/>
    </row>
    <row r="783">
      <c r="E783" s="79"/>
    </row>
    <row r="784">
      <c r="E784" s="79"/>
    </row>
    <row r="785">
      <c r="E785" s="79"/>
    </row>
    <row r="786">
      <c r="E786" s="79"/>
    </row>
    <row r="787">
      <c r="E787" s="79"/>
    </row>
    <row r="788">
      <c r="E788" s="79"/>
    </row>
    <row r="789">
      <c r="E789" s="79"/>
    </row>
    <row r="790">
      <c r="E790" s="79"/>
    </row>
    <row r="791">
      <c r="E791" s="79"/>
    </row>
    <row r="792">
      <c r="E792" s="79"/>
    </row>
    <row r="793">
      <c r="E793" s="79"/>
    </row>
    <row r="794">
      <c r="E794" s="79"/>
    </row>
    <row r="795">
      <c r="E795" s="79"/>
    </row>
    <row r="796">
      <c r="E796" s="79"/>
    </row>
    <row r="797">
      <c r="E797" s="79"/>
    </row>
    <row r="798">
      <c r="E798" s="79"/>
    </row>
    <row r="799">
      <c r="E799" s="79"/>
    </row>
    <row r="800">
      <c r="E800" s="79"/>
    </row>
    <row r="801">
      <c r="E801" s="79"/>
    </row>
    <row r="802">
      <c r="E802" s="79"/>
    </row>
    <row r="803">
      <c r="E803" s="79"/>
    </row>
    <row r="804">
      <c r="E804" s="79"/>
    </row>
    <row r="805">
      <c r="E805" s="79"/>
    </row>
    <row r="806">
      <c r="E806" s="79"/>
    </row>
    <row r="807">
      <c r="E807" s="79"/>
    </row>
    <row r="808">
      <c r="E808" s="79"/>
    </row>
    <row r="809">
      <c r="E809" s="79"/>
    </row>
    <row r="810">
      <c r="E810" s="79"/>
    </row>
    <row r="811">
      <c r="E811" s="79"/>
    </row>
    <row r="812">
      <c r="E812" s="79"/>
    </row>
    <row r="813">
      <c r="E813" s="79"/>
    </row>
    <row r="814">
      <c r="E814" s="79"/>
    </row>
    <row r="815">
      <c r="E815" s="79"/>
    </row>
    <row r="816">
      <c r="E816" s="79"/>
    </row>
    <row r="817">
      <c r="E817" s="79"/>
    </row>
    <row r="818">
      <c r="E818" s="79"/>
    </row>
    <row r="819">
      <c r="E819" s="79"/>
    </row>
    <row r="820">
      <c r="E820" s="79"/>
    </row>
    <row r="821">
      <c r="E821" s="79"/>
    </row>
    <row r="822">
      <c r="E822" s="79"/>
    </row>
    <row r="823">
      <c r="E823" s="79"/>
    </row>
    <row r="824">
      <c r="E824" s="79"/>
    </row>
    <row r="825">
      <c r="E825" s="79"/>
    </row>
    <row r="826">
      <c r="E826" s="79"/>
    </row>
    <row r="827">
      <c r="E827" s="79"/>
    </row>
    <row r="828">
      <c r="E828" s="79"/>
    </row>
    <row r="829">
      <c r="E829" s="79"/>
    </row>
    <row r="830">
      <c r="E830" s="79"/>
    </row>
    <row r="831">
      <c r="E831" s="79"/>
    </row>
    <row r="832">
      <c r="E832" s="79"/>
    </row>
    <row r="833">
      <c r="E833" s="79"/>
    </row>
    <row r="834">
      <c r="E834" s="79"/>
    </row>
    <row r="835">
      <c r="E835" s="79"/>
    </row>
    <row r="836">
      <c r="E836" s="79"/>
    </row>
    <row r="837">
      <c r="E837" s="79"/>
    </row>
    <row r="838">
      <c r="E838" s="79"/>
    </row>
    <row r="839">
      <c r="E839" s="79"/>
    </row>
    <row r="840">
      <c r="E840" s="79"/>
    </row>
    <row r="841">
      <c r="E841" s="79"/>
    </row>
    <row r="842">
      <c r="E842" s="79"/>
    </row>
    <row r="843">
      <c r="E843" s="79"/>
    </row>
    <row r="844">
      <c r="E844" s="79"/>
    </row>
    <row r="845">
      <c r="E845" s="79"/>
    </row>
    <row r="846">
      <c r="E846" s="79"/>
    </row>
    <row r="847">
      <c r="E847" s="79"/>
    </row>
    <row r="848">
      <c r="E848" s="79"/>
    </row>
    <row r="849">
      <c r="E849" s="79"/>
    </row>
    <row r="850">
      <c r="E850" s="79"/>
    </row>
    <row r="851">
      <c r="E851" s="79"/>
    </row>
    <row r="852">
      <c r="E852" s="79"/>
    </row>
    <row r="853">
      <c r="E853" s="79"/>
    </row>
    <row r="854">
      <c r="E854" s="79"/>
    </row>
    <row r="855">
      <c r="E855" s="79"/>
    </row>
    <row r="856">
      <c r="E856" s="79"/>
    </row>
    <row r="857">
      <c r="E857" s="79"/>
    </row>
    <row r="858">
      <c r="E858" s="79"/>
    </row>
    <row r="859">
      <c r="E859" s="79"/>
    </row>
    <row r="860">
      <c r="E860" s="79"/>
    </row>
    <row r="861">
      <c r="E861" s="79"/>
    </row>
    <row r="862">
      <c r="E862" s="79"/>
    </row>
    <row r="863">
      <c r="E863" s="79"/>
    </row>
    <row r="864">
      <c r="E864" s="79"/>
    </row>
    <row r="865">
      <c r="E865" s="79"/>
    </row>
    <row r="866">
      <c r="E866" s="79"/>
    </row>
    <row r="867">
      <c r="E867" s="79"/>
    </row>
    <row r="868">
      <c r="E868" s="79"/>
    </row>
    <row r="869">
      <c r="E869" s="79"/>
    </row>
    <row r="870">
      <c r="E870" s="79"/>
    </row>
    <row r="871">
      <c r="E871" s="79"/>
    </row>
    <row r="872">
      <c r="E872" s="79"/>
    </row>
    <row r="873">
      <c r="E873" s="79"/>
    </row>
    <row r="874">
      <c r="E874" s="79"/>
    </row>
    <row r="875">
      <c r="E875" s="79"/>
    </row>
    <row r="876">
      <c r="E876" s="79"/>
    </row>
    <row r="877">
      <c r="E877" s="79"/>
    </row>
    <row r="878">
      <c r="E878" s="79"/>
    </row>
    <row r="879">
      <c r="E879" s="79"/>
    </row>
    <row r="880">
      <c r="E880" s="79"/>
    </row>
    <row r="881">
      <c r="E881" s="79"/>
    </row>
    <row r="882">
      <c r="E882" s="79"/>
    </row>
    <row r="883">
      <c r="E883" s="79"/>
    </row>
    <row r="884">
      <c r="E884" s="79"/>
    </row>
    <row r="885">
      <c r="E885" s="79"/>
    </row>
    <row r="886">
      <c r="E886" s="79"/>
    </row>
    <row r="887">
      <c r="E887" s="79"/>
    </row>
    <row r="888">
      <c r="E888" s="79"/>
    </row>
    <row r="889">
      <c r="E889" s="79"/>
    </row>
    <row r="890">
      <c r="E890" s="79"/>
    </row>
    <row r="891">
      <c r="E891" s="79"/>
    </row>
    <row r="892">
      <c r="E892" s="79"/>
    </row>
    <row r="893">
      <c r="E893" s="79"/>
    </row>
    <row r="894">
      <c r="E894" s="79"/>
    </row>
    <row r="895">
      <c r="E895" s="79"/>
    </row>
    <row r="896">
      <c r="E896" s="79"/>
    </row>
    <row r="897">
      <c r="E897" s="79"/>
    </row>
    <row r="898">
      <c r="E898" s="79"/>
    </row>
    <row r="899">
      <c r="E899" s="79"/>
    </row>
    <row r="900">
      <c r="E900" s="79"/>
    </row>
    <row r="901">
      <c r="E901" s="79"/>
    </row>
    <row r="902">
      <c r="E902" s="79"/>
    </row>
    <row r="903">
      <c r="E903" s="79"/>
    </row>
    <row r="904">
      <c r="E904" s="79"/>
    </row>
    <row r="905">
      <c r="E905" s="79"/>
    </row>
    <row r="906">
      <c r="E906" s="79"/>
    </row>
    <row r="907">
      <c r="E907" s="79"/>
    </row>
    <row r="908">
      <c r="E908" s="79"/>
    </row>
    <row r="909">
      <c r="E909" s="79"/>
    </row>
    <row r="910">
      <c r="E910" s="79"/>
    </row>
    <row r="911">
      <c r="E911" s="79"/>
    </row>
    <row r="912">
      <c r="E912" s="79"/>
    </row>
    <row r="913">
      <c r="E913" s="79"/>
    </row>
    <row r="914">
      <c r="E914" s="79"/>
    </row>
    <row r="915">
      <c r="E915" s="79"/>
    </row>
    <row r="916">
      <c r="E916" s="79"/>
    </row>
    <row r="917">
      <c r="E917" s="79"/>
    </row>
    <row r="918">
      <c r="E918" s="79"/>
    </row>
    <row r="919">
      <c r="E919" s="79"/>
    </row>
    <row r="920">
      <c r="E920" s="79"/>
    </row>
    <row r="921">
      <c r="E921" s="79"/>
    </row>
    <row r="922">
      <c r="E922" s="79"/>
    </row>
    <row r="923">
      <c r="E923" s="79"/>
    </row>
    <row r="924">
      <c r="E924" s="79"/>
    </row>
    <row r="925">
      <c r="E925" s="79"/>
    </row>
    <row r="926">
      <c r="E926" s="79"/>
    </row>
    <row r="927">
      <c r="E927" s="79"/>
    </row>
    <row r="928">
      <c r="E928" s="79"/>
    </row>
    <row r="929">
      <c r="E929" s="79"/>
    </row>
    <row r="930">
      <c r="E930" s="79"/>
    </row>
    <row r="931">
      <c r="E931" s="79"/>
    </row>
    <row r="932">
      <c r="E932" s="79"/>
    </row>
    <row r="933">
      <c r="E933" s="79"/>
    </row>
    <row r="934">
      <c r="E934" s="79"/>
    </row>
    <row r="935">
      <c r="E935" s="79"/>
    </row>
    <row r="936">
      <c r="E936" s="79"/>
    </row>
    <row r="937">
      <c r="E937" s="79"/>
    </row>
    <row r="938">
      <c r="E938" s="79"/>
    </row>
    <row r="939">
      <c r="E939" s="79"/>
    </row>
    <row r="940">
      <c r="E940" s="79"/>
    </row>
    <row r="941">
      <c r="E941" s="79"/>
    </row>
    <row r="942">
      <c r="E942" s="79"/>
    </row>
    <row r="943">
      <c r="E943" s="79"/>
    </row>
    <row r="944">
      <c r="E944" s="79"/>
    </row>
    <row r="945">
      <c r="E945" s="79"/>
    </row>
    <row r="946">
      <c r="E946" s="79"/>
    </row>
    <row r="947">
      <c r="E947" s="79"/>
    </row>
    <row r="948">
      <c r="E948" s="79"/>
    </row>
    <row r="949">
      <c r="E949" s="79"/>
    </row>
    <row r="950">
      <c r="E950" s="79"/>
    </row>
    <row r="951">
      <c r="E951" s="79"/>
    </row>
    <row r="952">
      <c r="E952" s="79"/>
    </row>
    <row r="953">
      <c r="E953" s="79"/>
    </row>
    <row r="954">
      <c r="E954" s="79"/>
    </row>
    <row r="955">
      <c r="E955" s="79"/>
    </row>
    <row r="956">
      <c r="E956" s="79"/>
    </row>
    <row r="957">
      <c r="E957" s="79"/>
    </row>
    <row r="958">
      <c r="E958" s="79"/>
    </row>
    <row r="959">
      <c r="E959" s="79"/>
    </row>
    <row r="960">
      <c r="E960" s="79"/>
    </row>
    <row r="961">
      <c r="E961" s="79"/>
    </row>
    <row r="962">
      <c r="E962" s="79"/>
    </row>
    <row r="963">
      <c r="E963" s="79"/>
    </row>
    <row r="964">
      <c r="E964" s="79"/>
    </row>
    <row r="965">
      <c r="E965" s="79"/>
    </row>
    <row r="966">
      <c r="E966" s="79"/>
    </row>
    <row r="967">
      <c r="E967" s="79"/>
    </row>
    <row r="968">
      <c r="E968" s="79"/>
    </row>
    <row r="969">
      <c r="E969" s="79"/>
    </row>
    <row r="970">
      <c r="E970" s="79"/>
    </row>
    <row r="971">
      <c r="E971" s="79"/>
    </row>
    <row r="972">
      <c r="E972" s="79"/>
    </row>
    <row r="973">
      <c r="E973" s="79"/>
    </row>
    <row r="974">
      <c r="E974" s="79"/>
    </row>
    <row r="975">
      <c r="E975" s="79"/>
    </row>
    <row r="976">
      <c r="E976" s="79"/>
    </row>
    <row r="977">
      <c r="E977" s="79"/>
    </row>
    <row r="978">
      <c r="E978" s="79"/>
    </row>
    <row r="979">
      <c r="E979" s="79"/>
    </row>
    <row r="980">
      <c r="E980" s="79"/>
    </row>
    <row r="981">
      <c r="E981" s="79"/>
    </row>
    <row r="982">
      <c r="E982" s="79"/>
    </row>
    <row r="983">
      <c r="E983" s="79"/>
    </row>
    <row r="984">
      <c r="E984" s="79"/>
    </row>
    <row r="985">
      <c r="E985" s="79"/>
    </row>
    <row r="986">
      <c r="E986" s="79"/>
    </row>
    <row r="987">
      <c r="E987" s="79"/>
    </row>
    <row r="988">
      <c r="E988" s="79"/>
    </row>
    <row r="989">
      <c r="E989" s="79"/>
    </row>
    <row r="990">
      <c r="E990" s="79"/>
    </row>
    <row r="991">
      <c r="E991" s="79"/>
    </row>
    <row r="992">
      <c r="E992" s="79"/>
    </row>
    <row r="993">
      <c r="E993" s="79"/>
    </row>
    <row r="994">
      <c r="E994" s="79"/>
    </row>
    <row r="995">
      <c r="E995" s="79"/>
    </row>
    <row r="996">
      <c r="E996" s="79"/>
    </row>
    <row r="997">
      <c r="E997" s="79"/>
    </row>
    <row r="998">
      <c r="E998" s="79"/>
    </row>
    <row r="999">
      <c r="E999" s="79"/>
    </row>
    <row r="1000">
      <c r="E1000" s="79"/>
    </row>
    <row r="1001">
      <c r="E1001" s="79"/>
    </row>
    <row r="1002">
      <c r="E1002" s="79"/>
    </row>
    <row r="1003">
      <c r="E1003" s="79"/>
    </row>
    <row r="1004">
      <c r="E1004" s="79"/>
    </row>
    <row r="1005">
      <c r="E1005" s="79"/>
    </row>
    <row r="1006">
      <c r="E1006" s="79"/>
    </row>
    <row r="1007">
      <c r="E1007" s="79"/>
    </row>
    <row r="1008">
      <c r="E1008" s="79"/>
    </row>
    <row r="1009">
      <c r="E1009" s="79"/>
    </row>
    <row r="1010">
      <c r="E1010" s="79"/>
    </row>
    <row r="1011">
      <c r="E1011" s="79"/>
    </row>
    <row r="1012">
      <c r="E1012" s="79"/>
    </row>
    <row r="1013">
      <c r="E1013" s="79"/>
    </row>
    <row r="1014">
      <c r="E1014" s="79"/>
    </row>
    <row r="1015">
      <c r="E1015" s="79"/>
    </row>
    <row r="1016">
      <c r="E1016" s="79"/>
    </row>
    <row r="1017">
      <c r="E1017" s="79"/>
    </row>
    <row r="1018">
      <c r="E1018" s="79"/>
    </row>
    <row r="1019">
      <c r="E1019" s="79"/>
    </row>
    <row r="1020">
      <c r="E1020" s="79"/>
    </row>
    <row r="1021">
      <c r="E1021" s="79"/>
    </row>
    <row r="1022">
      <c r="E1022" s="79"/>
    </row>
    <row r="1023">
      <c r="E1023" s="79"/>
    </row>
    <row r="1024">
      <c r="E1024" s="79"/>
    </row>
    <row r="1025">
      <c r="E1025" s="79"/>
    </row>
    <row r="1026">
      <c r="E1026" s="79"/>
    </row>
    <row r="1027">
      <c r="E1027" s="79"/>
    </row>
    <row r="1028">
      <c r="E1028" s="79"/>
    </row>
    <row r="1029">
      <c r="E1029" s="79"/>
    </row>
    <row r="1030">
      <c r="E1030" s="79"/>
    </row>
    <row r="1031">
      <c r="E1031" s="79"/>
    </row>
    <row r="1032">
      <c r="E1032" s="79"/>
    </row>
    <row r="1033">
      <c r="E1033" s="79"/>
    </row>
    <row r="1034">
      <c r="E1034" s="79"/>
    </row>
    <row r="1035">
      <c r="E1035" s="79"/>
    </row>
    <row r="1036">
      <c r="E1036" s="79"/>
    </row>
    <row r="1037">
      <c r="E1037" s="79"/>
    </row>
    <row r="1038">
      <c r="E1038" s="79"/>
    </row>
    <row r="1039">
      <c r="E1039" s="79"/>
    </row>
    <row r="1040">
      <c r="E1040" s="79"/>
    </row>
    <row r="1041">
      <c r="E1041" s="79"/>
    </row>
    <row r="1042">
      <c r="E1042" s="79"/>
    </row>
    <row r="1043">
      <c r="E1043" s="79"/>
    </row>
    <row r="1044">
      <c r="E1044" s="79"/>
    </row>
    <row r="1045">
      <c r="E1045" s="79"/>
    </row>
    <row r="1046">
      <c r="E1046" s="79"/>
    </row>
    <row r="1047">
      <c r="E1047" s="79"/>
    </row>
    <row r="1048">
      <c r="E1048" s="79"/>
    </row>
    <row r="1049">
      <c r="E1049" s="79"/>
    </row>
    <row r="1050">
      <c r="E1050" s="79"/>
    </row>
    <row r="1051">
      <c r="E1051" s="79"/>
    </row>
    <row r="1052">
      <c r="E1052" s="79"/>
    </row>
    <row r="1053">
      <c r="E1053" s="79"/>
    </row>
    <row r="1054">
      <c r="E1054" s="79"/>
    </row>
    <row r="1055">
      <c r="E1055" s="79"/>
    </row>
    <row r="1056">
      <c r="E1056" s="79"/>
    </row>
    <row r="1057">
      <c r="E1057" s="79"/>
    </row>
    <row r="1058">
      <c r="E1058" s="79"/>
    </row>
    <row r="1059">
      <c r="E1059" s="79"/>
    </row>
    <row r="1060">
      <c r="E1060" s="79"/>
    </row>
  </sheetData>
  <mergeCells count="14">
    <mergeCell ref="A53:A65"/>
    <mergeCell ref="A70:A82"/>
    <mergeCell ref="B70:B82"/>
    <mergeCell ref="A87:A99"/>
    <mergeCell ref="B87:B99"/>
    <mergeCell ref="A104:A116"/>
    <mergeCell ref="B104:B116"/>
    <mergeCell ref="A2:A14"/>
    <mergeCell ref="B2:B14"/>
    <mergeCell ref="A19:A31"/>
    <mergeCell ref="B19:B31"/>
    <mergeCell ref="A36:A48"/>
    <mergeCell ref="B36:B48"/>
    <mergeCell ref="B53:B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77</v>
      </c>
      <c r="D2" s="3" t="s">
        <v>15</v>
      </c>
      <c r="E2" s="80">
        <v>0.637</v>
      </c>
      <c r="F2" s="80">
        <v>0.657</v>
      </c>
      <c r="G2" s="80">
        <v>0.753</v>
      </c>
      <c r="H2" s="80">
        <v>0.97</v>
      </c>
      <c r="I2" s="81">
        <v>80.0</v>
      </c>
      <c r="J2" s="81">
        <v>339.0</v>
      </c>
      <c r="K2" s="81">
        <v>5662.0</v>
      </c>
    </row>
    <row r="3">
      <c r="A3" s="3" t="s">
        <v>11</v>
      </c>
      <c r="B3" s="3" t="s">
        <v>17</v>
      </c>
      <c r="C3" s="3" t="s">
        <v>77</v>
      </c>
      <c r="D3" s="3" t="s">
        <v>15</v>
      </c>
      <c r="E3" s="80">
        <v>0.646</v>
      </c>
      <c r="F3" s="80">
        <v>0.764</v>
      </c>
      <c r="G3" s="80">
        <v>0.899</v>
      </c>
      <c r="H3" s="80">
        <v>0.868</v>
      </c>
      <c r="I3" s="81">
        <v>81.0</v>
      </c>
      <c r="J3" s="81">
        <v>6064.0</v>
      </c>
      <c r="K3" s="81">
        <v>12279.0</v>
      </c>
    </row>
    <row r="4">
      <c r="A4" s="3" t="s">
        <v>11</v>
      </c>
      <c r="B4" s="3" t="s">
        <v>18</v>
      </c>
      <c r="C4" s="3" t="s">
        <v>77</v>
      </c>
      <c r="D4" s="3" t="s">
        <v>15</v>
      </c>
      <c r="E4" s="80">
        <v>0.624</v>
      </c>
      <c r="F4" s="80">
        <v>0.856</v>
      </c>
      <c r="G4" s="80">
        <v>0.817</v>
      </c>
      <c r="H4" s="80">
        <v>0.75</v>
      </c>
      <c r="I4" s="81">
        <v>69.0</v>
      </c>
      <c r="J4" s="81">
        <v>1242.0</v>
      </c>
      <c r="K4" s="81">
        <v>810.0</v>
      </c>
    </row>
    <row r="5">
      <c r="A5" s="3" t="s">
        <v>11</v>
      </c>
      <c r="B5" s="3" t="s">
        <v>19</v>
      </c>
      <c r="C5" s="3" t="s">
        <v>77</v>
      </c>
      <c r="D5" s="3" t="s">
        <v>15</v>
      </c>
      <c r="E5" s="80">
        <v>0.765</v>
      </c>
      <c r="F5" s="80">
        <v>0.869</v>
      </c>
      <c r="G5" s="80">
        <v>0.689</v>
      </c>
      <c r="H5" s="80">
        <v>0.901</v>
      </c>
      <c r="I5" s="81">
        <v>37.0</v>
      </c>
      <c r="J5" s="81">
        <v>450.0</v>
      </c>
      <c r="K5" s="81">
        <v>617.0</v>
      </c>
    </row>
    <row r="6">
      <c r="A6" s="3" t="s">
        <v>11</v>
      </c>
      <c r="B6" s="3" t="s">
        <v>20</v>
      </c>
      <c r="C6" s="3" t="s">
        <v>77</v>
      </c>
      <c r="D6" s="3" t="s">
        <v>15</v>
      </c>
      <c r="E6" s="80">
        <v>0.711</v>
      </c>
      <c r="F6" s="80">
        <v>0.759</v>
      </c>
      <c r="G6" s="80">
        <v>0.7471</v>
      </c>
      <c r="H6" s="80">
        <v>0.948</v>
      </c>
      <c r="I6" s="81">
        <v>73.0</v>
      </c>
      <c r="J6" s="81">
        <v>531.0</v>
      </c>
      <c r="K6" s="81">
        <v>3086.0</v>
      </c>
    </row>
    <row r="7">
      <c r="A7" s="3" t="s">
        <v>11</v>
      </c>
      <c r="B7" s="3" t="s">
        <v>21</v>
      </c>
      <c r="C7" s="3" t="s">
        <v>77</v>
      </c>
      <c r="D7" s="3" t="s">
        <v>15</v>
      </c>
      <c r="E7" s="80">
        <v>0.841</v>
      </c>
      <c r="F7" s="80">
        <v>0.922</v>
      </c>
      <c r="G7" s="80">
        <v>0.857</v>
      </c>
      <c r="H7" s="80">
        <v>0.917</v>
      </c>
      <c r="I7" s="81">
        <v>10.0</v>
      </c>
      <c r="J7" s="81">
        <v>585.0</v>
      </c>
      <c r="K7" s="81">
        <v>545.0</v>
      </c>
    </row>
    <row r="8">
      <c r="A8" s="3" t="s">
        <v>11</v>
      </c>
      <c r="B8" s="3" t="s">
        <v>22</v>
      </c>
      <c r="C8" s="3" t="s">
        <v>77</v>
      </c>
      <c r="D8" s="3" t="s">
        <v>15</v>
      </c>
      <c r="E8" s="80">
        <v>0.61</v>
      </c>
      <c r="F8" s="80">
        <v>0.736</v>
      </c>
      <c r="G8" s="80">
        <v>0.72</v>
      </c>
      <c r="H8" s="80">
        <v>0.888</v>
      </c>
      <c r="I8" s="81">
        <v>372.0</v>
      </c>
      <c r="J8" s="81">
        <v>1075.0</v>
      </c>
      <c r="K8" s="81">
        <v>3048.0</v>
      </c>
    </row>
    <row r="9">
      <c r="D9" s="12" t="s">
        <v>27</v>
      </c>
      <c r="E9" s="82">
        <f t="shared" ref="E9:H9" si="1">AVERAGE(E2:E8)</f>
        <v>0.6905714286</v>
      </c>
      <c r="F9" s="82">
        <f t="shared" si="1"/>
        <v>0.7947142857</v>
      </c>
      <c r="G9" s="82">
        <f t="shared" si="1"/>
        <v>0.7831571429</v>
      </c>
      <c r="H9" s="82">
        <f t="shared" si="1"/>
        <v>0.8917142857</v>
      </c>
      <c r="I9" s="83">
        <f t="shared" ref="I9:K9" si="2">SUM(I2:I8)</f>
        <v>722</v>
      </c>
      <c r="J9" s="83">
        <f t="shared" si="2"/>
        <v>10286</v>
      </c>
      <c r="K9" s="83">
        <f t="shared" si="2"/>
        <v>26047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4.5"/>
    <col customWidth="1" min="3" max="3" width="12.13"/>
    <col customWidth="1" min="5" max="5" width="16.0"/>
  </cols>
  <sheetData>
    <row r="1">
      <c r="A1" s="84" t="s">
        <v>0</v>
      </c>
      <c r="B1" s="84" t="s">
        <v>1</v>
      </c>
      <c r="C1" s="84" t="s">
        <v>2</v>
      </c>
      <c r="D1" s="84" t="s">
        <v>3</v>
      </c>
      <c r="E1" s="84" t="s">
        <v>78</v>
      </c>
      <c r="F1" s="84" t="s">
        <v>79</v>
      </c>
      <c r="G1" s="84" t="s">
        <v>80</v>
      </c>
      <c r="H1" s="84" t="s">
        <v>81</v>
      </c>
      <c r="I1" s="84" t="s">
        <v>82</v>
      </c>
      <c r="J1" s="84" t="s">
        <v>83</v>
      </c>
      <c r="K1" s="84" t="s">
        <v>4</v>
      </c>
      <c r="L1" s="84" t="s">
        <v>6</v>
      </c>
      <c r="M1" s="84" t="s">
        <v>7</v>
      </c>
      <c r="N1" s="84" t="s">
        <v>5</v>
      </c>
    </row>
    <row r="2" ht="27.75" customHeight="1">
      <c r="A2" s="85" t="s">
        <v>84</v>
      </c>
      <c r="B2" s="85" t="s">
        <v>12</v>
      </c>
      <c r="C2" s="85" t="s">
        <v>26</v>
      </c>
      <c r="D2" s="85" t="s">
        <v>15</v>
      </c>
      <c r="E2" s="86" t="s">
        <v>85</v>
      </c>
      <c r="F2" s="87">
        <v>0.9</v>
      </c>
      <c r="G2" s="88">
        <v>0.9</v>
      </c>
      <c r="H2" s="88">
        <v>4.0</v>
      </c>
      <c r="I2" s="89">
        <v>1676.0</v>
      </c>
      <c r="J2" s="88">
        <v>0.9</v>
      </c>
      <c r="K2" s="90">
        <v>0.674</v>
      </c>
      <c r="L2" s="90">
        <v>0.8</v>
      </c>
      <c r="M2" s="90">
        <v>0.967</v>
      </c>
      <c r="N2" s="90">
        <v>0.701</v>
      </c>
    </row>
    <row r="3" ht="27.75" customHeight="1">
      <c r="A3" s="5"/>
      <c r="B3" s="5"/>
      <c r="C3" s="5"/>
      <c r="D3" s="5"/>
      <c r="E3" s="86" t="s">
        <v>86</v>
      </c>
      <c r="F3" s="87">
        <v>0.72</v>
      </c>
      <c r="G3" s="88">
        <v>0.72</v>
      </c>
      <c r="H3" s="88">
        <v>8.0</v>
      </c>
      <c r="I3" s="89">
        <v>9386.0</v>
      </c>
      <c r="J3" s="88">
        <v>0.72</v>
      </c>
      <c r="K3" s="90">
        <v>0.412</v>
      </c>
      <c r="L3" s="90">
        <v>0.646</v>
      </c>
      <c r="M3" s="90">
        <v>0.89</v>
      </c>
      <c r="N3" s="90">
        <v>0.645</v>
      </c>
    </row>
    <row r="4" ht="27.75" customHeight="1">
      <c r="A4" s="5"/>
      <c r="B4" s="5"/>
      <c r="C4" s="5"/>
      <c r="D4" s="5"/>
      <c r="E4" s="86" t="s">
        <v>87</v>
      </c>
      <c r="F4" s="87">
        <v>0.56</v>
      </c>
      <c r="G4" s="88">
        <v>0.56</v>
      </c>
      <c r="H4" s="88">
        <v>12.0</v>
      </c>
      <c r="I4" s="89">
        <v>22124.0</v>
      </c>
      <c r="J4" s="88">
        <v>0.56</v>
      </c>
      <c r="K4" s="90">
        <v>0.267</v>
      </c>
      <c r="L4" s="90">
        <v>0.428</v>
      </c>
      <c r="M4" s="90">
        <v>0.891</v>
      </c>
      <c r="N4" s="90">
        <v>0.646</v>
      </c>
    </row>
    <row r="5" ht="27.75" customHeight="1">
      <c r="A5" s="5"/>
      <c r="B5" s="5"/>
      <c r="C5" s="5"/>
      <c r="D5" s="5"/>
      <c r="E5" s="86" t="s">
        <v>88</v>
      </c>
      <c r="F5" s="87">
        <v>0.56</v>
      </c>
      <c r="G5" s="88">
        <v>0.56</v>
      </c>
      <c r="H5" s="88">
        <v>12.0</v>
      </c>
      <c r="I5" s="89">
        <v>7374.0</v>
      </c>
      <c r="J5" s="88">
        <v>0.56</v>
      </c>
      <c r="K5" s="90">
        <v>0.261</v>
      </c>
      <c r="L5" s="90">
        <v>0.8</v>
      </c>
      <c r="M5" s="90">
        <v>0.682</v>
      </c>
      <c r="N5" s="90">
        <v>0.494</v>
      </c>
    </row>
    <row r="6" ht="27.75" customHeight="1">
      <c r="A6" s="5"/>
      <c r="B6" s="5"/>
      <c r="C6" s="5"/>
      <c r="D6" s="5"/>
      <c r="E6" s="86" t="s">
        <v>89</v>
      </c>
      <c r="F6" s="87">
        <v>0.2</v>
      </c>
      <c r="G6" s="88">
        <v>0.2</v>
      </c>
      <c r="H6" s="88">
        <v>28.0</v>
      </c>
      <c r="I6" s="89">
        <v>13408.0</v>
      </c>
      <c r="J6" s="88">
        <v>0.2</v>
      </c>
      <c r="K6" s="88">
        <v>0.0</v>
      </c>
      <c r="L6" s="90">
        <v>0.8</v>
      </c>
      <c r="M6" s="90">
        <v>0.285</v>
      </c>
      <c r="N6" s="90">
        <v>0.207</v>
      </c>
    </row>
    <row r="7" ht="27.75" customHeight="1">
      <c r="A7" s="5"/>
      <c r="B7" s="5"/>
      <c r="C7" s="5"/>
      <c r="D7" s="5"/>
      <c r="E7" s="86" t="s">
        <v>90</v>
      </c>
      <c r="F7" s="87">
        <v>0.5</v>
      </c>
      <c r="G7" s="88">
        <v>0.05</v>
      </c>
      <c r="H7" s="88">
        <v>80.0</v>
      </c>
      <c r="I7" s="89">
        <v>15922.0</v>
      </c>
      <c r="J7" s="88">
        <v>0.05</v>
      </c>
      <c r="K7" s="88">
        <v>0.0</v>
      </c>
      <c r="L7" s="90">
        <v>0.8</v>
      </c>
      <c r="M7" s="90">
        <v>0.487</v>
      </c>
      <c r="N7" s="90">
        <v>0.702</v>
      </c>
    </row>
    <row r="8" ht="27.75" customHeight="1">
      <c r="A8" s="5"/>
      <c r="B8" s="5"/>
      <c r="C8" s="5"/>
      <c r="D8" s="5"/>
      <c r="E8" s="86" t="s">
        <v>91</v>
      </c>
      <c r="F8" s="87">
        <v>0.48</v>
      </c>
      <c r="G8" s="88">
        <v>0.48</v>
      </c>
      <c r="H8" s="88">
        <v>20.0</v>
      </c>
      <c r="I8" s="89">
        <v>8715.0</v>
      </c>
      <c r="J8" s="88">
        <v>0.48</v>
      </c>
      <c r="K8" s="88">
        <v>0.492</v>
      </c>
      <c r="L8" s="90">
        <v>0.793</v>
      </c>
      <c r="M8" s="90">
        <v>0.853</v>
      </c>
      <c r="N8" s="90">
        <v>0.618</v>
      </c>
    </row>
    <row r="9" ht="27.75" customHeight="1">
      <c r="A9" s="7"/>
      <c r="B9" s="7"/>
      <c r="C9" s="7"/>
      <c r="D9" s="7"/>
      <c r="E9" s="86" t="s">
        <v>92</v>
      </c>
      <c r="F9" s="87">
        <v>0.24</v>
      </c>
      <c r="G9" s="88">
        <v>0.24</v>
      </c>
      <c r="H9" s="88">
        <v>28.0</v>
      </c>
      <c r="I9" s="89">
        <v>12738.0</v>
      </c>
      <c r="J9" s="88">
        <v>0.24</v>
      </c>
      <c r="K9" s="88">
        <v>0.19</v>
      </c>
      <c r="L9" s="90">
        <v>0.789</v>
      </c>
      <c r="M9" s="90">
        <v>0.975</v>
      </c>
      <c r="N9" s="90">
        <v>0.195</v>
      </c>
    </row>
    <row r="10" ht="27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</sheetData>
  <mergeCells count="4">
    <mergeCell ref="A2:A9"/>
    <mergeCell ref="B2:B9"/>
    <mergeCell ref="C2:C9"/>
    <mergeCell ref="D2:D9"/>
  </mergeCells>
  <drawing r:id="rId1"/>
</worksheet>
</file>